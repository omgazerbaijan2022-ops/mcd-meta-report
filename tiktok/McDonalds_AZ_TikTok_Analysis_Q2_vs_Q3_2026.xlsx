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KPI Summary" sheetId="2" state="visible" r:id="rId4"/>
    <sheet name="By Objective" sheetId="3" state="visible" r:id="rId5"/>
    <sheet name="Like-for-like" sheetId="4" state="visible" r:id="rId6"/>
    <sheet name="Campaigns BEFORE" sheetId="5" state="visible" r:id="rId7"/>
    <sheet name="Campaigns AFTER" sheetId="6" state="visible" r:id="rId8"/>
    <sheet name="Ad Groups BEFORE" sheetId="7" state="visible" r:id="rId9"/>
    <sheet name="Ad Groups AFTER" sheetId="8" state="visible" r:id="rId10"/>
    <sheet name="Data BEFORE" sheetId="9" state="visible" r:id="rId11"/>
    <sheet name="Data AFTER" sheetId="10" state="visible" r:id="rId12"/>
    <sheet name="Validation" sheetId="11" state="visible" r:id="rId13"/>
    <sheet name="Excluded rows" sheetId="12" state="visible" r:id="rId14"/>
  </sheets>
  <definedNames>
    <definedName function="false" hidden="true" localSheetId="7" name="_xlnm._FilterDatabase" vbProcedure="false">'Ad Groups AFTER'!$A$4:$Q$28</definedName>
    <definedName function="false" hidden="true" localSheetId="6" name="_xlnm._FilterDatabase" vbProcedure="false">'Ad Groups BEFORE'!$A$4:$Q$10</definedName>
    <definedName function="false" hidden="true" localSheetId="5" name="_xlnm._FilterDatabase" vbProcedure="false">'Campaigns AFTER'!$A$4:$P$24</definedName>
    <definedName function="false" hidden="true" localSheetId="4" name="_xlnm._FilterDatabase" vbProcedure="false">'Campaigns BEFORE'!$A$4:$P$10</definedName>
    <definedName function="false" hidden="true" localSheetId="9" name="_xlnm._FilterDatabase" vbProcedure="false">'Data AFTER'!$A$1:$R$52</definedName>
    <definedName function="false" hidden="true" localSheetId="8" name="_xlnm._FilterDatabase" vbProcedure="false">'Data BEFORE'!$A$1:$R$48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Source: 'Total of N results' row (Reach column) of the BEFORE export – TikTok's de-duplicated reach.</t>
        </r>
      </text>
    </comment>
    <comment ref="C6" authorId="0">
      <text>
        <r>
          <rPr>
            <sz val="10"/>
            <rFont val="Arial"/>
            <family val="2"/>
          </rPr>
          <t xml:space="preserve">Source: 'Total of N results' row (Reach column) of the AFTER export – TikTok's de-duplicated reach.</t>
        </r>
      </text>
    </comment>
  </commentList>
</comments>
</file>

<file path=xl/sharedStrings.xml><?xml version="1.0" encoding="utf-8"?>
<sst xmlns="http://schemas.openxmlformats.org/spreadsheetml/2006/main" count="1451" uniqueCount="360">
  <si>
    <t xml:space="preserve">McDonald's Azerbaijan – TikTok Ads: BEFORE vs AFTER analysis</t>
  </si>
  <si>
    <t xml:space="preserve">BEFORE = 1 Apr – 30 Jun 2026 (previous agency) · AFTER = 1 Jul – 30 Sep 2026 (current agency)</t>
  </si>
  <si>
    <t xml:space="preserve">Sources</t>
  </si>
  <si>
    <t xml:space="preserve">TikTok Ads Manager ad-level exports (USD): 'Tiktok_Ads_1_apr_-_30_June…20260401-20260630.xlsx' and 'Tiktok_Ads_1_july_-_Sep_30…20260701-20260930.xlsx'.</t>
  </si>
  <si>
    <t xml:space="preserve">Active ads</t>
  </si>
  <si>
    <t xml:space="preserve">Rows with zero spend (BEFORE 54, AFTER 83) have zero delivery; they are listed on 'Excluded rows' and left out of every calculation.</t>
  </si>
  <si>
    <t xml:space="preserve">Weighted KPIs</t>
  </si>
  <si>
    <t xml:space="preserve">All rates are recalculated from summed totals with live formulas (CPM = spend ÷ impressions × 1,000; CTR = clicks ÷ impressions; CPC = spend ÷ clicks; view rate = 2-sec views ÷ impressions). Row-level rates are never averaged.</t>
  </si>
  <si>
    <t xml:space="preserve">Unique reach</t>
  </si>
  <si>
    <t xml:space="preserve">TikTok's de-duplicated account reach comes from the 'Total of N results' row of each export (blue input on 'KPI Summary'). All other reach figures are ad-level reach summed, which counts a person once per ad.</t>
  </si>
  <si>
    <t xml:space="preserve">Objective</t>
  </si>
  <si>
    <t xml:space="preserve">Inferred from campaign names (Reach, Community interaction, Video views, App promotion) and from Results = Reach. Opening_Nizami Mall reports results ≠ reach and is labelled 'Unlabelled (results ≠ reach)'.</t>
  </si>
  <si>
    <t xml:space="preserve">Initiative</t>
  </si>
  <si>
    <t xml:space="preserve">Product keyword taken from the campaign name when it names a product, otherwise from the ad name (e.g. fifa, mixology, happy meal / HM, chicken / toyuq, cafe / cofe, grimace). Used only for like-for-like comparisons.</t>
  </si>
  <si>
    <t xml:space="preserve">Results</t>
  </si>
  <si>
    <t xml:space="preserve">The 'Results' column mixes unnamed result types by objective, so it is shown per row but never summed across objectives.</t>
  </si>
  <si>
    <t xml:space="preserve">Not in exports</t>
  </si>
  <si>
    <t xml:space="preserve">6-sec views, likes, comments, shares, engagement rate, conversions, daily breakdown and placement split are not available.</t>
  </si>
  <si>
    <t xml:space="preserve">Colour code</t>
  </si>
  <si>
    <t xml:space="preserve">Blue text = values typed from the exports · black = formulas · green = links to another sheet · yellow fill = key KPI rows.</t>
  </si>
  <si>
    <t xml:space="preserve">Sheets</t>
  </si>
  <si>
    <t xml:space="preserve">KPI Summary · By Objective · Campaigns BEFORE / AFTER · Ad Groups BEFORE / AFTER · Like-for-like · Data BEFORE / AFTER (ads, with per-ad KPIs) · Validation · Excluded rows.</t>
  </si>
  <si>
    <t xml:space="preserve">KPI summary – BEFORE vs AFTER</t>
  </si>
  <si>
    <t xml:space="preserve">Totals over active ads; rates recalculated from totals. Blue = input from the export's Total row.</t>
  </si>
  <si>
    <t xml:space="preserve">KPI</t>
  </si>
  <si>
    <t xml:space="preserve">BEFORE (Apr–Jun)</t>
  </si>
  <si>
    <t xml:space="preserve">AFTER (Jul–Sep)</t>
  </si>
  <si>
    <t xml:space="preserve">Absolute change</t>
  </si>
  <si>
    <t xml:space="preserve">% change</t>
  </si>
  <si>
    <t xml:space="preserve">Better when</t>
  </si>
  <si>
    <t xml:space="preserve">Verdict</t>
  </si>
  <si>
    <t xml:space="preserve">Amount spent (USD)</t>
  </si>
  <si>
    <t xml:space="preserve">Context</t>
  </si>
  <si>
    <t xml:space="preserve">Unique reach (de-duplicated)</t>
  </si>
  <si>
    <t xml:space="preserve">Higher</t>
  </si>
  <si>
    <t xml:space="preserve">Impressions</t>
  </si>
  <si>
    <t xml:space="preserve">Frequency (impressions ÷ unique reach)</t>
  </si>
  <si>
    <t xml:space="preserve">Cost per 1,000 unique reached (USD)</t>
  </si>
  <si>
    <t xml:space="preserve">Lower</t>
  </si>
  <si>
    <t xml:space="preserve">CPM (USD)</t>
  </si>
  <si>
    <t xml:space="preserve">Clicks (destination)</t>
  </si>
  <si>
    <t xml:space="preserve">CTR</t>
  </si>
  <si>
    <t xml:space="preserve">CPC (USD)</t>
  </si>
  <si>
    <t xml:space="preserve">2-sec video views</t>
  </si>
  <si>
    <t xml:space="preserve">2-sec view rate</t>
  </si>
  <si>
    <t xml:space="preserve">Cost per 1,000 2-sec views (USD)</t>
  </si>
  <si>
    <t xml:space="preserve">Reach (sum of ad-level reach)</t>
  </si>
  <si>
    <t xml:space="preserve">Cost per 1,000 reached – ad level (USD)</t>
  </si>
  <si>
    <t xml:space="preserve">Reading the table</t>
  </si>
  <si>
    <t xml:space="preserve">Spend fell ~10% while unique reach rose ~14%: cost per 1,000 unique people fell ~21% at an almost flat CPM – a genuine efficiency gain.</t>
  </si>
  <si>
    <t xml:space="preserve">Clicks (-17%) and 2-sec views (-30%) fell more than spend: CTR, CPC, view rate and cost per view all declined.</t>
  </si>
  <si>
    <t xml:space="preserve">Frequency is shown as context: lower means less repetition per person, not automatically better.</t>
  </si>
  <si>
    <t xml:space="preserve">By objective – BEFORE vs AFTER</t>
  </si>
  <si>
    <t xml:space="preserve">Objective inferred from campaign names / results (see README). SUMIFS over the ad-level data.</t>
  </si>
  <si>
    <t xml:space="preserve">Period</t>
  </si>
  <si>
    <t xml:space="preserve">Spend (USD)</t>
  </si>
  <si>
    <t xml:space="preserve">Share of spend</t>
  </si>
  <si>
    <t xml:space="preserve">Reach (ad level)</t>
  </si>
  <si>
    <t xml:space="preserve">Clicks</t>
  </si>
  <si>
    <t xml:space="preserve">2-sec views</t>
  </si>
  <si>
    <t xml:space="preserve">Cost / 1K 2-sec views (USD)</t>
  </si>
  <si>
    <t xml:space="preserve">Cost / 1K reached (USD)</t>
  </si>
  <si>
    <t xml:space="preserve">Reach</t>
  </si>
  <si>
    <t xml:space="preserve">BEFORE</t>
  </si>
  <si>
    <t xml:space="preserve">AFTER</t>
  </si>
  <si>
    <t xml:space="preserve">Video views</t>
  </si>
  <si>
    <t xml:space="preserve">Community interaction</t>
  </si>
  <si>
    <t xml:space="preserve">Unlabelled (results ≠ reach)</t>
  </si>
  <si>
    <t xml:space="preserve">App promotion</t>
  </si>
  <si>
    <t xml:space="preserve">Like-for-like initiatives – Reach-objective ads only</t>
  </si>
  <si>
    <t xml:space="preserve">Matched only where the product keyword appears in both periods. Mixology and Happy Meal rest on one BEFORE ad each.</t>
  </si>
  <si>
    <t xml:space="preserve">BEFORE ads</t>
  </si>
  <si>
    <t xml:space="preserve">AFTER ads</t>
  </si>
  <si>
    <t xml:space="preserve">BEFORE spend</t>
  </si>
  <si>
    <t xml:space="preserve">AFTER spend</t>
  </si>
  <si>
    <t xml:space="preserve">BEFORE cost/1K reached</t>
  </si>
  <si>
    <t xml:space="preserve">AFTER cost/1K reached</t>
  </si>
  <si>
    <t xml:space="preserve">% change cost/1K</t>
  </si>
  <si>
    <t xml:space="preserve">BEFORE CPM</t>
  </si>
  <si>
    <t xml:space="preserve">AFTER CPM</t>
  </si>
  <si>
    <t xml:space="preserve">BEFORE CTR</t>
  </si>
  <si>
    <t xml:space="preserve">AFTER CTR</t>
  </si>
  <si>
    <t xml:space="preserve">% change CTR</t>
  </si>
  <si>
    <t xml:space="preserve">BEFORE view rate</t>
  </si>
  <si>
    <t xml:space="preserve">AFTER view rate</t>
  </si>
  <si>
    <t xml:space="preserve">% change view rate</t>
  </si>
  <si>
    <t xml:space="preserve">BEFORE freq (ad level)</t>
  </si>
  <si>
    <t xml:space="preserve">AFTER freq (ad level)</t>
  </si>
  <si>
    <t xml:space="preserve">FIFA / World Cup</t>
  </si>
  <si>
    <t xml:space="preserve">Mixology</t>
  </si>
  <si>
    <t xml:space="preserve">Grimace</t>
  </si>
  <si>
    <t xml:space="preserve">Happy Meal</t>
  </si>
  <si>
    <t xml:space="preserve">Chicken</t>
  </si>
  <si>
    <t xml:space="preserve">McCafé</t>
  </si>
  <si>
    <t xml:space="preserve">Campaigns BEFORE</t>
  </si>
  <si>
    <t xml:space="preserve">SUMIFS over the ad-level data; rates recalculated from totals. Sorted by spend.</t>
  </si>
  <si>
    <t xml:space="preserve">Campaign</t>
  </si>
  <si>
    <t xml:space="preserve">Ads</t>
  </si>
  <si>
    <t xml:space="preserve">Frequency (ad level)</t>
  </si>
  <si>
    <t xml:space="preserve">Reach_June'26</t>
  </si>
  <si>
    <t xml:space="preserve">Reach_April'26</t>
  </si>
  <si>
    <t xml:space="preserve">Reach_May'26</t>
  </si>
  <si>
    <t xml:space="preserve">Community interaction_May'26</t>
  </si>
  <si>
    <t xml:space="preserve">Взаимодействие с сообществом20260611150844</t>
  </si>
  <si>
    <t xml:space="preserve">Community_int_generic_22.04</t>
  </si>
  <si>
    <t xml:space="preserve">Total</t>
  </si>
  <si>
    <t xml:space="preserve">Campaigns AFTER</t>
  </si>
  <si>
    <t xml:space="preserve">MCchicken_Reach_July'26</t>
  </si>
  <si>
    <t xml:space="preserve">FIFA_Reach_July'26</t>
  </si>
  <si>
    <t xml:space="preserve">McCafe_Reach_Sep_26</t>
  </si>
  <si>
    <t xml:space="preserve">Mixology_Reach_July'26</t>
  </si>
  <si>
    <t xml:space="preserve">HM_Reach_Sep'26</t>
  </si>
  <si>
    <t xml:space="preserve">MCD&amp;Spiderman_HM_Reach_Aug_26</t>
  </si>
  <si>
    <t xml:space="preserve">Mixology_Reach_Aug'26</t>
  </si>
  <si>
    <t xml:space="preserve">MCD&amp;SpidermanGenZ_Reach_Aug_26</t>
  </si>
  <si>
    <t xml:space="preserve">Video views_July'2026</t>
  </si>
  <si>
    <t xml:space="preserve">MCchicken_Reach_Sep'26</t>
  </si>
  <si>
    <t xml:space="preserve">Grimace_Reach_July'26</t>
  </si>
  <si>
    <t xml:space="preserve">Opening_Nizami Mall</t>
  </si>
  <si>
    <t xml:space="preserve">AOS_McChicken_Reach_AUG'2026_13043676216</t>
  </si>
  <si>
    <t xml:space="preserve">Video views_Sep'2026</t>
  </si>
  <si>
    <t xml:space="preserve">Video views_Aug'2026</t>
  </si>
  <si>
    <t xml:space="preserve">IOS_McChicken_Reach_AUG'2026_13043676216</t>
  </si>
  <si>
    <t xml:space="preserve">MCD_Cheddar_sauce_Reach_July'26</t>
  </si>
  <si>
    <t xml:space="preserve">Community interaction_Always-On'26</t>
  </si>
  <si>
    <t xml:space="preserve">AOS_AppPromo_Chicken_AO_13043676216</t>
  </si>
  <si>
    <t xml:space="preserve">IOS_AppPromo_Chicken_AO_13043679488</t>
  </si>
  <si>
    <t xml:space="preserve">Ad Groups BEFORE</t>
  </si>
  <si>
    <t xml:space="preserve">Ad group = (campaign, ad group) pair. BEFORE ad groups are one per campaign, named 'all'.</t>
  </si>
  <si>
    <t xml:space="preserve">Ad group</t>
  </si>
  <si>
    <t xml:space="preserve">All</t>
  </si>
  <si>
    <t xml:space="preserve">all</t>
  </si>
  <si>
    <t xml:space="preserve">Traffic_June'26</t>
  </si>
  <si>
    <t xml:space="preserve">generic_22.04</t>
  </si>
  <si>
    <t xml:space="preserve">Ad Groups AFTER</t>
  </si>
  <si>
    <t xml:space="preserve">MC_Value_03.06</t>
  </si>
  <si>
    <t xml:space="preserve">Fifa_reach_18-50</t>
  </si>
  <si>
    <t xml:space="preserve">Core TA</t>
  </si>
  <si>
    <t xml:space="preserve">Mixology_Launch_03.06</t>
  </si>
  <si>
    <t xml:space="preserve">Parents</t>
  </si>
  <si>
    <t xml:space="preserve">Mixology_Launch_01.07</t>
  </si>
  <si>
    <t xml:space="preserve">GenZ_Aug_26</t>
  </si>
  <si>
    <t xml:space="preserve">HappyMeal_Aug_26</t>
  </si>
  <si>
    <t xml:space="preserve">tiktok_mcd_young_18-34</t>
  </si>
  <si>
    <t xml:space="preserve">Nizami Mall_adv</t>
  </si>
  <si>
    <t xml:space="preserve">Chicken Menu Value</t>
  </si>
  <si>
    <t xml:space="preserve">Fifa Post Campaing _ Sea Breeze</t>
  </si>
  <si>
    <t xml:space="preserve">Generic</t>
  </si>
  <si>
    <t xml:space="preserve">McFlurry_18-34</t>
  </si>
  <si>
    <t xml:space="preserve">HappyMeal_GenZ(with GenA interest)_Aug_26</t>
  </si>
  <si>
    <t xml:space="preserve">Cheddar_mcd_360_days_interaction</t>
  </si>
  <si>
    <t xml:space="preserve">GenZ(with GenA interest)</t>
  </si>
  <si>
    <t xml:space="preserve">red_card_boost_01.06</t>
  </si>
  <si>
    <t xml:space="preserve">FIFA_18-55</t>
  </si>
  <si>
    <t xml:space="preserve">Cold_18-44_All+_Android</t>
  </si>
  <si>
    <t xml:space="preserve">Cold_18-44_All_AZ_Adv+_IOS</t>
  </si>
  <si>
    <t xml:space="preserve">Ad</t>
  </si>
  <si>
    <t xml:space="preserve">Results (as reported)</t>
  </si>
  <si>
    <t xml:space="preserve">Frequency (as reported)</t>
  </si>
  <si>
    <t xml:space="preserve">bizim_burher_06.04</t>
  </si>
  <si>
    <t xml:space="preserve">Bizim Burger / Roll</t>
  </si>
  <si>
    <t xml:space="preserve">stranger_things_main_video_13.05</t>
  </si>
  <si>
    <t xml:space="preserve">Stranger Things</t>
  </si>
  <si>
    <t xml:space="preserve">open_door_02.06</t>
  </si>
  <si>
    <t xml:space="preserve">Other</t>
  </si>
  <si>
    <t xml:space="preserve">gen_a_squishmallows_04.06</t>
  </si>
  <si>
    <t xml:space="preserve">Squishmallows</t>
  </si>
  <si>
    <t xml:space="preserve">pov_bizim_burger_10.04</t>
  </si>
  <si>
    <t xml:space="preserve">stranger_things_reel_15.05</t>
  </si>
  <si>
    <t xml:space="preserve">crispy_06.04</t>
  </si>
  <si>
    <t xml:space="preserve">stranger_things_15.05</t>
  </si>
  <si>
    <t xml:space="preserve">chicken_basket_reel_06.05</t>
  </si>
  <si>
    <t xml:space="preserve">grimace_shake_18.05</t>
  </si>
  <si>
    <t xml:space="preserve">arrival_fifa_05.06</t>
  </si>
  <si>
    <t xml:space="preserve">mc_avto_tvc_24.04</t>
  </si>
  <si>
    <t xml:space="preserve">pov_bizim_roll_22.04</t>
  </si>
  <si>
    <t xml:space="preserve">trailer_fifa_05.06</t>
  </si>
  <si>
    <t xml:space="preserve">bolt_chicken_basket_05.05</t>
  </si>
  <si>
    <t xml:space="preserve">stranger_things_netflix_19.05</t>
  </si>
  <si>
    <t xml:space="preserve">cups_video_fifa_11.06</t>
  </si>
  <si>
    <t xml:space="preserve">happy_meal_02.04</t>
  </si>
  <si>
    <t xml:space="preserve">chicken_game_05.05</t>
  </si>
  <si>
    <t xml:space="preserve">fifa_squishmallows_2_19.06</t>
  </si>
  <si>
    <t xml:space="preserve">fifa_squishmallows_16.06</t>
  </si>
  <si>
    <t xml:space="preserve">squishmallows_19.06</t>
  </si>
  <si>
    <t xml:space="preserve">fifa_reaching_09.06</t>
  </si>
  <si>
    <t xml:space="preserve">mixology_tvc_22.06</t>
  </si>
  <si>
    <t xml:space="preserve">fifa_loud_sip_12.06</t>
  </si>
  <si>
    <t xml:space="preserve">fifa_squishmallows_tvc_11.06</t>
  </si>
  <si>
    <t xml:space="preserve">stranger_things_25.05</t>
  </si>
  <si>
    <t xml:space="preserve">fifa_hero_tvc_12.06</t>
  </si>
  <si>
    <t xml:space="preserve">mc_cafe_03.04</t>
  </si>
  <si>
    <t xml:space="preserve">fifa_olv_beckhem_henry_19.06</t>
  </si>
  <si>
    <t xml:space="preserve">fifa_video_22.06</t>
  </si>
  <si>
    <t xml:space="preserve">chicken_basket_07.05</t>
  </si>
  <si>
    <t xml:space="preserve">fifa_becon_08.06</t>
  </si>
  <si>
    <t xml:space="preserve">mc_cafe_08.04</t>
  </si>
  <si>
    <t xml:space="preserve">match_cuts_10.06</t>
  </si>
  <si>
    <t xml:space="preserve">Fifa_reaching_11.06</t>
  </si>
  <si>
    <t xml:space="preserve">fifa_tray_video_tray_11.06</t>
  </si>
  <si>
    <t xml:space="preserve">fifa_athletes_vs_grimace_10.06</t>
  </si>
  <si>
    <t xml:space="preserve">fifa_hero_16.06</t>
  </si>
  <si>
    <t xml:space="preserve">fifa_henry_beck_24.06_ig</t>
  </si>
  <si>
    <t xml:space="preserve">junggle_fifa_26.06</t>
  </si>
  <si>
    <t xml:space="preserve">open_door_bloggers_19.06</t>
  </si>
  <si>
    <t xml:space="preserve">henry_grimace_28.06</t>
  </si>
  <si>
    <t xml:space="preserve">fifa_squishmallows_28.06</t>
  </si>
  <si>
    <t xml:space="preserve">beckham_gets_beckham_24.06</t>
  </si>
  <si>
    <t xml:space="preserve">5.95_reel_29.04</t>
  </si>
  <si>
    <t xml:space="preserve">Xususi toyuq kombolari_03.06</t>
  </si>
  <si>
    <t xml:space="preserve">Cofe_#2</t>
  </si>
  <si>
    <t xml:space="preserve">Cofe_#1</t>
  </si>
  <si>
    <t xml:space="preserve">SpongeBob SquarePants x One Piece #2</t>
  </si>
  <si>
    <t xml:space="preserve">FIFA_GENZ_Son Nightmare_Global_AZ_GEN_9x16_14</t>
  </si>
  <si>
    <t xml:space="preserve">Chicken_offer_inf_14.09.26</t>
  </si>
  <si>
    <t xml:space="preserve">opening_nizami_mall</t>
  </si>
  <si>
    <t xml:space="preserve">Restaurant opening</t>
  </si>
  <si>
    <t xml:space="preserve">Chicken_offer_inf_16.08.26</t>
  </si>
  <si>
    <t xml:space="preserve">MCxCola_content_5_9x16_AZ</t>
  </si>
  <si>
    <t xml:space="preserve">Generic_1</t>
  </si>
  <si>
    <t xml:space="preserve">Spiderman_alixan_07.08</t>
  </si>
  <si>
    <t xml:space="preserve">Spiderman GenZ</t>
  </si>
  <si>
    <t xml:space="preserve">FIFA_GENZ_Ronaldinho_Revenge_Global_AZ_GEN_9x16_13</t>
  </si>
  <si>
    <t xml:space="preserve">FIFA_GENZ_Beckham_Revenge_Global_EN_Social_9x16_13</t>
  </si>
  <si>
    <t xml:space="preserve">FIFA_Grimace_cup</t>
  </si>
  <si>
    <t xml:space="preserve">Mixology Trial_Post_AZ</t>
  </si>
  <si>
    <t xml:space="preserve">MCxCola_content_3_9x16_AZ</t>
  </si>
  <si>
    <t xml:space="preserve">FIFA_GENZ_Grimace_Bounce_Global_AZ_GEN_9x16_13</t>
  </si>
  <si>
    <t xml:space="preserve">MCFlurry_IMG_6519</t>
  </si>
  <si>
    <t xml:space="preserve">McFlurry</t>
  </si>
  <si>
    <t xml:space="preserve">MCxCola_content_19x16_AZ</t>
  </si>
  <si>
    <t xml:space="preserve">MCxCola_content_4_9x16_AZ</t>
  </si>
  <si>
    <t xml:space="preserve">Cheddar_sauce_15.07</t>
  </si>
  <si>
    <t xml:space="preserve">Spiderman_HM_20.08</t>
  </si>
  <si>
    <t xml:space="preserve">SpongeBob SquarePants x One Piece #1</t>
  </si>
  <si>
    <t xml:space="preserve">FIFA_GENA _Social _GCM _15_Trick Shots_TT_Reels_ 9x16_GEN AZ</t>
  </si>
  <si>
    <t xml:space="preserve">Spiderman_launch_03.08</t>
  </si>
  <si>
    <t xml:space="preserve">mcdonalds.az x seabreezeresortbaku</t>
  </si>
  <si>
    <t xml:space="preserve">MCxCola content 5 9x16 AZ</t>
  </si>
  <si>
    <t xml:space="preserve">McDo_AZ_2_(2)</t>
  </si>
  <si>
    <t xml:space="preserve">Spiderman_HM_06.08</t>
  </si>
  <si>
    <t xml:space="preserve">Futbol_əyləncə_və_dadlı_anlar</t>
  </si>
  <si>
    <t xml:space="preserve">Spiderman_Menu_06.08</t>
  </si>
  <si>
    <t xml:space="preserve">Grimace_IMG_6543</t>
  </si>
  <si>
    <t xml:space="preserve">Spiderman_HM_09.08</t>
  </si>
  <si>
    <t xml:space="preserve">Spiderman_HM_launch_03.08</t>
  </si>
  <si>
    <t xml:space="preserve">Spiderman_launch_05.08</t>
  </si>
  <si>
    <t xml:space="preserve">Spiderman_HM_13.08</t>
  </si>
  <si>
    <t xml:space="preserve">Spiderman_HM_16.08</t>
  </si>
  <si>
    <t xml:space="preserve">Spiderman_alixan_18.08</t>
  </si>
  <si>
    <t xml:space="preserve">Fifa_sea_breeze event_23.07</t>
  </si>
  <si>
    <t xml:space="preserve">Chicken_offers_15.08.26</t>
  </si>
  <si>
    <t xml:space="preserve">Ad name2026-08-20 09:52:52</t>
  </si>
  <si>
    <t xml:space="preserve">Validation – ad rows vs the export's Total row</t>
  </si>
  <si>
    <t xml:space="preserve">Blue = typed from each export's 'Total of N results' row. Difference should be 0.</t>
  </si>
  <si>
    <t xml:space="preserve">Metric</t>
  </si>
  <si>
    <t xml:space="preserve">Total row (export)</t>
  </si>
  <si>
    <t xml:space="preserve">Sum of ad rows</t>
  </si>
  <si>
    <t xml:space="preserve">Difference</t>
  </si>
  <si>
    <t xml:space="preserve">Zero-spend rows excluded: these have zero impressions, clicks and views, so they do not affect the sums.</t>
  </si>
  <si>
    <t xml:space="preserve">Excluded rows – zero spend, zero delivery</t>
  </si>
  <si>
    <t xml:space="preserve">Legacy ads listed in the exports without any delivery in the period.</t>
  </si>
  <si>
    <t xml:space="preserve">Reach_share_box_26.08</t>
  </si>
  <si>
    <t xml:space="preserve">share_box_26.08</t>
  </si>
  <si>
    <t xml:space="preserve">Reach_Feb'26</t>
  </si>
  <si>
    <t xml:space="preserve">all feb</t>
  </si>
  <si>
    <t xml:space="preserve">spicy_nuggets_09.02</t>
  </si>
  <si>
    <t xml:space="preserve">Reach_March'26</t>
  </si>
  <si>
    <t xml:space="preserve">all march</t>
  </si>
  <si>
    <t xml:space="preserve">torpaq_chersembesi_17.03</t>
  </si>
  <si>
    <t xml:space="preserve">happy_meal_uno_13.02</t>
  </si>
  <si>
    <t xml:space="preserve">Reach_app_promotion_26.08</t>
  </si>
  <si>
    <t xml:space="preserve">app_promotion_26.08</t>
  </si>
  <si>
    <t xml:space="preserve">Reach_shnurki_reel_08.09</t>
  </si>
  <si>
    <t xml:space="preserve">shnurki_reel_08.09</t>
  </si>
  <si>
    <t xml:space="preserve">Reach_app_video_lyaman_21.08</t>
  </si>
  <si>
    <t xml:space="preserve">App_video_lyaman_21.08</t>
  </si>
  <si>
    <t xml:space="preserve">app_video_lyaman_21.08</t>
  </si>
  <si>
    <t xml:space="preserve">su_chersembesi_1_25.02</t>
  </si>
  <si>
    <t xml:space="preserve">torpaq_chersembesi_2_17.03</t>
  </si>
  <si>
    <t xml:space="preserve">Reach_Jan'26</t>
  </si>
  <si>
    <t xml:space="preserve">Friends_collection_reel_13.01</t>
  </si>
  <si>
    <t xml:space="preserve">BigArch_truck_reel_13.01</t>
  </si>
  <si>
    <t xml:space="preserve">Reach_post_for_Dec'25</t>
  </si>
  <si>
    <t xml:space="preserve">advent_teqvimi_01.12</t>
  </si>
  <si>
    <t xml:space="preserve">novruz_reel_21.03</t>
  </si>
  <si>
    <t xml:space="preserve">od_cersembesi_03.03</t>
  </si>
  <si>
    <t xml:space="preserve">bizim_burger_animation_21.03</t>
  </si>
  <si>
    <t xml:space="preserve">Reach_chicken_game_21.08</t>
  </si>
  <si>
    <t xml:space="preserve">chicken_game_21.08</t>
  </si>
  <si>
    <t xml:space="preserve">su_chersembesi_2_25.02</t>
  </si>
  <si>
    <t xml:space="preserve">acili_nuggets_reel_07.01</t>
  </si>
  <si>
    <t xml:space="preserve">big_arch_pov_28.01</t>
  </si>
  <si>
    <t xml:space="preserve">Reach_mc_value_main_video_08.10</t>
  </si>
  <si>
    <t xml:space="preserve">mc_value_main_video_08.10</t>
  </si>
  <si>
    <t xml:space="preserve">Ad name2025-10-08 14:00:12</t>
  </si>
  <si>
    <t xml:space="preserve">Reach_photo_reel_19.09</t>
  </si>
  <si>
    <t xml:space="preserve">photo_reel_19.09</t>
  </si>
  <si>
    <t xml:space="preserve">novruz_animation_20.03</t>
  </si>
  <si>
    <t xml:space="preserve">Reach_Balloon_Game_04.08</t>
  </si>
  <si>
    <t xml:space="preserve">Balloon_Game_04.08</t>
  </si>
  <si>
    <t xml:space="preserve">Balloon_Game</t>
  </si>
  <si>
    <t xml:space="preserve">bizim_burger_20.03</t>
  </si>
  <si>
    <t xml:space="preserve">od_cersembesi_2_03.03</t>
  </si>
  <si>
    <t xml:space="preserve">mc_avto_10.02</t>
  </si>
  <si>
    <t xml:space="preserve">happy meal crayola</t>
  </si>
  <si>
    <t xml:space="preserve">Reach_vibor_BM_04.09</t>
  </si>
  <si>
    <t xml:space="preserve">vibor_BM_04.09</t>
  </si>
  <si>
    <t xml:space="preserve">Reach_McRoyal_BBQ_11.09</t>
  </si>
  <si>
    <t xml:space="preserve">McRoyal_BBQ_11.09</t>
  </si>
  <si>
    <t xml:space="preserve">Reach_dostlarla_gozel_anlar_16.09</t>
  </si>
  <si>
    <t xml:space="preserve">dostlarla_gozel_anlar_16.09</t>
  </si>
  <si>
    <t xml:space="preserve">reseptler_22.12</t>
  </si>
  <si>
    <t xml:space="preserve">Reach_best_friend_video_18.09</t>
  </si>
  <si>
    <t xml:space="preserve">best_friend_video_18.09</t>
  </si>
  <si>
    <t xml:space="preserve">Reach_share_box_family_20.08</t>
  </si>
  <si>
    <t xml:space="preserve">Share_box_family_20.08</t>
  </si>
  <si>
    <t xml:space="preserve">Video views_SuChershenbesi_post2</t>
  </si>
  <si>
    <t xml:space="preserve">Su Chershenbesi</t>
  </si>
  <si>
    <t xml:space="preserve">Ad name2026-02-24 15:26:53</t>
  </si>
  <si>
    <t xml:space="preserve">Reach_Big_Mac_Chicken_09.09</t>
  </si>
  <si>
    <t xml:space="preserve">Big_Mac_Chicken_09.09</t>
  </si>
  <si>
    <t xml:space="preserve">yeni il 2_03.01</t>
  </si>
  <si>
    <t xml:space="preserve">toyuq_kombo_menu_03.03</t>
  </si>
  <si>
    <t xml:space="preserve">big_arch_3D_05.03</t>
  </si>
  <si>
    <t xml:space="preserve">generic_big_mac_16.03</t>
  </si>
  <si>
    <t xml:space="preserve">opening_ganjlik_10.03</t>
  </si>
  <si>
    <t xml:space="preserve">yel_cersembesi_2_10.03</t>
  </si>
  <si>
    <t xml:space="preserve">App_promo_Dec'25</t>
  </si>
  <si>
    <t xml:space="preserve">Android</t>
  </si>
  <si>
    <t xml:space="preserve">advent_teqvim_15.12</t>
  </si>
  <si>
    <t xml:space="preserve">big_tasty_sous_04.02</t>
  </si>
  <si>
    <t xml:space="preserve">Najaf_Mehemmed_06.02</t>
  </si>
  <si>
    <t xml:space="preserve">fast_eater_23.02</t>
  </si>
  <si>
    <t xml:space="preserve">ad_gunu_najaf_app_19.02</t>
  </si>
  <si>
    <t xml:space="preserve">Reach_DJ_set_Lyaman_11.09</t>
  </si>
  <si>
    <t xml:space="preserve">DJ_set_Lyaman_11.09</t>
  </si>
  <si>
    <t xml:space="preserve">Reach_3_2_1_video_25.08</t>
  </si>
  <si>
    <t xml:space="preserve">3_2_1_video_25.08</t>
  </si>
  <si>
    <t xml:space="preserve">Friends_main_video_27.11</t>
  </si>
  <si>
    <t xml:space="preserve">Reach_happy_meal_16.09</t>
  </si>
  <si>
    <t xml:space="preserve">happy_meal_16.09</t>
  </si>
  <si>
    <t xml:space="preserve">Reach_balloon_game_18.08</t>
  </si>
  <si>
    <t xml:space="preserve">balloon_game_18.08</t>
  </si>
  <si>
    <t xml:space="preserve">yeni_il_3_03.01</t>
  </si>
  <si>
    <t xml:space="preserve">friends_mug</t>
  </si>
  <si>
    <t xml:space="preserve">spicy_nuggets_mn_17.02</t>
  </si>
  <si>
    <t xml:space="preserve">Reach_value_video_sever_najaf_04.11</t>
  </si>
  <si>
    <t xml:space="preserve">value_video_sever_najaf_04.11</t>
  </si>
  <si>
    <t xml:space="preserve">friends_mug_reel_video_22.12</t>
  </si>
  <si>
    <t xml:space="preserve">Minecraft_April'25</t>
  </si>
  <si>
    <t xml:space="preserve">Aylin_unboxing</t>
  </si>
  <si>
    <t xml:space="preserve">friends_stand_05.01</t>
  </si>
  <si>
    <t xml:space="preserve">yel_cersembesi_10.03</t>
  </si>
  <si>
    <t xml:space="preserve">Reach_mc_cafe_barista_08.10</t>
  </si>
  <si>
    <t xml:space="preserve">mc_cafe_barista_08.10</t>
  </si>
  <si>
    <t xml:space="preserve">big_arch_M_26.01</t>
  </si>
  <si>
    <t xml:space="preserve">App Install_Android</t>
  </si>
  <si>
    <t xml:space="preserve">App Installs_Android</t>
  </si>
  <si>
    <t xml:space="preserve">2025-02-12 14:35:14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</si>
</sst>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-0.0%;\-"/>
    <numFmt numFmtId="167" formatCode="#,##0;\(#,##0\);\-"/>
    <numFmt numFmtId="168" formatCode="0.00;\-0.00;\-"/>
    <numFmt numFmtId="169" formatCode="\$#,##0.000;&quot;($&quot;#,##0.000\);\-"/>
    <numFmt numFmtId="170" formatCode="0.00%;\-0.00%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7251F"/>
      <name val="Arial"/>
      <family val="0"/>
      <charset val="1"/>
    </font>
    <font>
      <i val="true"/>
      <sz val="10"/>
      <color rgb="FF6E6E6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A291C"/>
        <bgColor rgb="FFFF0000"/>
      </patternFill>
    </fill>
    <fill>
      <patternFill patternType="solid">
        <fgColor rgb="FFFFF1C7"/>
        <bgColor rgb="FFF6F5F2"/>
      </patternFill>
    </fill>
    <fill>
      <patternFill patternType="solid">
        <fgColor rgb="FFF6F5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A291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F5F2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1C7"/>
      <rgbColor rgb="FFF6F5F2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969696"/>
      <rgbColor rgb="FF003366"/>
      <rgbColor rgb="FF339966"/>
      <rgbColor rgb="FF003300"/>
      <rgbColor rgb="FF333300"/>
      <rgbColor rgb="FFDA291C"/>
      <rgbColor rgb="FF993366"/>
      <rgbColor rgb="FF333399"/>
      <rgbColor rgb="FF2725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4" t="s">
        <v>3</v>
      </c>
    </row>
    <row r="5" customFormat="false" ht="42" hidden="false" customHeight="true" outlineLevel="0" collapsed="false">
      <c r="A5" s="3" t="s">
        <v>4</v>
      </c>
      <c r="B5" s="4" t="s">
        <v>5</v>
      </c>
    </row>
    <row r="6" customFormat="false" ht="42" hidden="false" customHeight="true" outlineLevel="0" collapsed="false">
      <c r="A6" s="3" t="s">
        <v>6</v>
      </c>
      <c r="B6" s="4" t="s">
        <v>7</v>
      </c>
    </row>
    <row r="7" customFormat="false" ht="42" hidden="false" customHeight="true" outlineLevel="0" collapsed="false">
      <c r="A7" s="3" t="s">
        <v>8</v>
      </c>
      <c r="B7" s="4" t="s">
        <v>9</v>
      </c>
    </row>
    <row r="8" customFormat="false" ht="42" hidden="false" customHeight="true" outlineLevel="0" collapsed="false">
      <c r="A8" s="3" t="s">
        <v>10</v>
      </c>
      <c r="B8" s="4" t="s">
        <v>11</v>
      </c>
    </row>
    <row r="9" customFormat="false" ht="42" hidden="false" customHeight="true" outlineLevel="0" collapsed="false">
      <c r="A9" s="3" t="s">
        <v>12</v>
      </c>
      <c r="B9" s="4" t="s">
        <v>13</v>
      </c>
    </row>
    <row r="10" customFormat="false" ht="42" hidden="false" customHeight="true" outlineLevel="0" collapsed="false">
      <c r="A10" s="3" t="s">
        <v>14</v>
      </c>
      <c r="B10" s="4" t="s">
        <v>15</v>
      </c>
    </row>
    <row r="11" customFormat="false" ht="42" hidden="false" customHeight="true" outlineLevel="0" collapsed="false">
      <c r="A11" s="3" t="s">
        <v>16</v>
      </c>
      <c r="B11" s="4" t="s">
        <v>17</v>
      </c>
    </row>
    <row r="12" customFormat="false" ht="42" hidden="false" customHeight="true" outlineLevel="0" collapsed="false">
      <c r="A12" s="3" t="s">
        <v>18</v>
      </c>
      <c r="B12" s="4" t="s">
        <v>19</v>
      </c>
    </row>
    <row r="13" customFormat="false" ht="42" hidden="false" customHeight="true" outlineLevel="0" collapsed="false">
      <c r="A13" s="3" t="s">
        <v>20</v>
      </c>
      <c r="B1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A291C"/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8"/>
    <col collapsed="false" customWidth="true" hidden="false" outlineLevel="0" max="5" min="5" style="0" width="12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31.5" hidden="false" customHeight="true" outlineLevel="0" collapsed="false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</row>
    <row r="5" customFormat="false" ht="15" hidden="false" customHeight="false" outlineLevel="0" collapsed="false">
      <c r="A5" s="6" t="s">
        <v>31</v>
      </c>
      <c r="B5" s="7" t="n">
        <f aca="false">SUM('Data BEFORE'!$F$2:$F$48)</f>
        <v>27255.89</v>
      </c>
      <c r="C5" s="7" t="n">
        <f aca="false">SUM('Data AFTER'!$F$2:$F$52)</f>
        <v>24566.02</v>
      </c>
      <c r="D5" s="8" t="n">
        <f aca="false">C5-B5</f>
        <v>-2689.87</v>
      </c>
      <c r="E5" s="9" t="n">
        <f aca="false">IFERROR((C5-B5)/B5,"")</f>
        <v>-0.0986894942707796</v>
      </c>
      <c r="F5" s="10" t="s">
        <v>32</v>
      </c>
      <c r="G5" s="10" t="str">
        <f aca="false">IF(F5="Context","Context",IF(OR(AND(F5="Higher",E5&gt;0),AND(F5="Lower",E5&lt;0)),"Improvement","Decline"))</f>
        <v>Context</v>
      </c>
    </row>
    <row r="6" customFormat="false" ht="15" hidden="false" customHeight="false" outlineLevel="0" collapsed="false">
      <c r="A6" s="6" t="s">
        <v>33</v>
      </c>
      <c r="B6" s="11" t="n">
        <v>4928705</v>
      </c>
      <c r="C6" s="11" t="n">
        <v>5630553</v>
      </c>
      <c r="D6" s="12" t="n">
        <f aca="false">C6-B6</f>
        <v>701848</v>
      </c>
      <c r="E6" s="9" t="n">
        <f aca="false">IFERROR((C6-B6)/B6,"")</f>
        <v>0.142400082780365</v>
      </c>
      <c r="F6" s="10" t="s">
        <v>34</v>
      </c>
      <c r="G6" s="10" t="str">
        <f aca="false">IF(F6="Context","Context",IF(OR(AND(F6="Higher",E6&gt;0),AND(F6="Lower",E6&lt;0)),"Improvement","Decline"))</f>
        <v>Improvement</v>
      </c>
    </row>
    <row r="7" customFormat="false" ht="15" hidden="false" customHeight="false" outlineLevel="0" collapsed="false">
      <c r="A7" s="13" t="s">
        <v>35</v>
      </c>
      <c r="B7" s="14" t="n">
        <f aca="false">SUM('Data BEFORE'!$H$2:$H$48)</f>
        <v>105356739</v>
      </c>
      <c r="C7" s="14" t="n">
        <f aca="false">SUM('Data AFTER'!$H$2:$H$52)</f>
        <v>93440992</v>
      </c>
      <c r="D7" s="15" t="n">
        <f aca="false">C7-B7</f>
        <v>-11915747</v>
      </c>
      <c r="E7" s="16" t="n">
        <f aca="false">IFERROR((C7-B7)/B7,"")</f>
        <v>-0.113099049126796</v>
      </c>
      <c r="F7" s="13" t="s">
        <v>32</v>
      </c>
      <c r="G7" s="13" t="str">
        <f aca="false">IF(F7="Context","Context",IF(OR(AND(F7="Higher",E7&gt;0),AND(F7="Lower",E7&lt;0)),"Improvement","Decline"))</f>
        <v>Context</v>
      </c>
    </row>
    <row r="8" customFormat="false" ht="15" hidden="false" customHeight="false" outlineLevel="0" collapsed="false">
      <c r="A8" s="13" t="s">
        <v>36</v>
      </c>
      <c r="B8" s="17" t="n">
        <f aca="false">B7/B6</f>
        <v>21.3761503275201</v>
      </c>
      <c r="C8" s="17" t="n">
        <f aca="false">C7/C6</f>
        <v>16.5953489825955</v>
      </c>
      <c r="D8" s="17" t="n">
        <f aca="false">C8-B8</f>
        <v>-4.78080134492462</v>
      </c>
      <c r="E8" s="16" t="n">
        <f aca="false">IFERROR((C8-B8)/B8,"")</f>
        <v>-0.223651184692957</v>
      </c>
      <c r="F8" s="13" t="s">
        <v>32</v>
      </c>
      <c r="G8" s="13" t="str">
        <f aca="false">IF(F8="Context","Context",IF(OR(AND(F8="Higher",E8&gt;0),AND(F8="Lower",E8&lt;0)),"Improvement","Decline"))</f>
        <v>Context</v>
      </c>
    </row>
    <row r="9" customFormat="false" ht="15" hidden="false" customHeight="false" outlineLevel="0" collapsed="false">
      <c r="A9" s="6" t="s">
        <v>37</v>
      </c>
      <c r="B9" s="8" t="n">
        <f aca="false">B5/B6*1000</f>
        <v>5.53003070786342</v>
      </c>
      <c r="C9" s="8" t="n">
        <f aca="false">C5/C6*1000</f>
        <v>4.362985305351</v>
      </c>
      <c r="D9" s="8" t="n">
        <f aca="false">C9-B9</f>
        <v>-1.16704540251242</v>
      </c>
      <c r="E9" s="9" t="n">
        <f aca="false">IFERROR((C9-B9)/B9,"")</f>
        <v>-0.211037779745588</v>
      </c>
      <c r="F9" s="10" t="s">
        <v>38</v>
      </c>
      <c r="G9" s="10" t="str">
        <f aca="false">IF(F9="Context","Context",IF(OR(AND(F9="Higher",E9&gt;0),AND(F9="Lower",E9&lt;0)),"Improvement","Decline"))</f>
        <v>Improvement</v>
      </c>
    </row>
    <row r="10" customFormat="false" ht="15" hidden="false" customHeight="false" outlineLevel="0" collapsed="false">
      <c r="A10" s="13" t="s">
        <v>39</v>
      </c>
      <c r="B10" s="18" t="n">
        <f aca="false">B5/B7*1000</f>
        <v>0.258700964539155</v>
      </c>
      <c r="C10" s="18" t="n">
        <f aca="false">C5/C7*1000</f>
        <v>0.262904101018106</v>
      </c>
      <c r="D10" s="18" t="n">
        <f aca="false">C10-B10</f>
        <v>0.00420313647895071</v>
      </c>
      <c r="E10" s="16" t="n">
        <f aca="false">IFERROR((C10-B10)/B10,"")</f>
        <v>0.0162470846849686</v>
      </c>
      <c r="F10" s="13" t="s">
        <v>38</v>
      </c>
      <c r="G10" s="13" t="str">
        <f aca="false">IF(F10="Context","Context",IF(OR(AND(F10="Higher",E10&gt;0),AND(F10="Lower",E10&lt;0)),"Improvement","Decline"))</f>
        <v>Decline</v>
      </c>
    </row>
    <row r="11" customFormat="false" ht="15" hidden="false" customHeight="false" outlineLevel="0" collapsed="false">
      <c r="A11" s="13" t="s">
        <v>40</v>
      </c>
      <c r="B11" s="14" t="n">
        <f aca="false">SUM('Data BEFORE'!$I$2:$I$48)</f>
        <v>246549</v>
      </c>
      <c r="C11" s="14" t="n">
        <f aca="false">SUM('Data AFTER'!$I$2:$I$52)</f>
        <v>204396</v>
      </c>
      <c r="D11" s="15" t="n">
        <f aca="false">C11-B11</f>
        <v>-42153</v>
      </c>
      <c r="E11" s="16" t="n">
        <f aca="false">IFERROR((C11-B11)/B11,"")</f>
        <v>-0.170972098852561</v>
      </c>
      <c r="F11" s="13" t="s">
        <v>34</v>
      </c>
      <c r="G11" s="13" t="str">
        <f aca="false">IF(F11="Context","Context",IF(OR(AND(F11="Higher",E11&gt;0),AND(F11="Lower",E11&lt;0)),"Improvement","Decline"))</f>
        <v>Decline</v>
      </c>
    </row>
    <row r="12" customFormat="false" ht="15" hidden="false" customHeight="false" outlineLevel="0" collapsed="false">
      <c r="A12" s="6" t="s">
        <v>41</v>
      </c>
      <c r="B12" s="19" t="n">
        <f aca="false">B11/B7</f>
        <v>0.00234013507194827</v>
      </c>
      <c r="C12" s="19" t="n">
        <f aca="false">C11/C7</f>
        <v>0.00218743396902293</v>
      </c>
      <c r="D12" s="19" t="n">
        <f aca="false">C12-B12</f>
        <v>-0.000152701102925337</v>
      </c>
      <c r="E12" s="9" t="n">
        <f aca="false">IFERROR((C12-B12)/B12,"")</f>
        <v>-0.0652531149828915</v>
      </c>
      <c r="F12" s="10" t="s">
        <v>34</v>
      </c>
      <c r="G12" s="10" t="str">
        <f aca="false">IF(F12="Context","Context",IF(OR(AND(F12="Higher",E12&gt;0),AND(F12="Lower",E12&lt;0)),"Improvement","Decline"))</f>
        <v>Decline</v>
      </c>
    </row>
    <row r="13" customFormat="false" ht="15" hidden="false" customHeight="false" outlineLevel="0" collapsed="false">
      <c r="A13" s="6" t="s">
        <v>42</v>
      </c>
      <c r="B13" s="20" t="n">
        <f aca="false">B5/B11</f>
        <v>0.110549586491935</v>
      </c>
      <c r="C13" s="20" t="n">
        <f aca="false">C5/C11</f>
        <v>0.120188359850486</v>
      </c>
      <c r="D13" s="20" t="n">
        <f aca="false">C13-B13</f>
        <v>0.00963877335855165</v>
      </c>
      <c r="E13" s="9" t="n">
        <f aca="false">IFERROR((C13-B13)/B13,"")</f>
        <v>0.087189592149717</v>
      </c>
      <c r="F13" s="10" t="s">
        <v>38</v>
      </c>
      <c r="G13" s="10" t="str">
        <f aca="false">IF(F13="Context","Context",IF(OR(AND(F13="Higher",E13&gt;0),AND(F13="Lower",E13&lt;0)),"Improvement","Decline"))</f>
        <v>Decline</v>
      </c>
    </row>
    <row r="14" customFormat="false" ht="15" hidden="false" customHeight="false" outlineLevel="0" collapsed="false">
      <c r="A14" s="13" t="s">
        <v>43</v>
      </c>
      <c r="B14" s="14" t="n">
        <f aca="false">SUM('Data BEFORE'!$J$2:$J$48)</f>
        <v>24143461</v>
      </c>
      <c r="C14" s="14" t="n">
        <f aca="false">SUM('Data AFTER'!$J$2:$J$52)</f>
        <v>16912347</v>
      </c>
      <c r="D14" s="15" t="n">
        <f aca="false">C14-B14</f>
        <v>-7231114</v>
      </c>
      <c r="E14" s="16" t="n">
        <f aca="false">IFERROR((C14-B14)/B14,"")</f>
        <v>-0.299506106436024</v>
      </c>
      <c r="F14" s="13" t="s">
        <v>34</v>
      </c>
      <c r="G14" s="13" t="str">
        <f aca="false">IF(F14="Context","Context",IF(OR(AND(F14="Higher",E14&gt;0),AND(F14="Lower",E14&lt;0)),"Improvement","Decline"))</f>
        <v>Decline</v>
      </c>
    </row>
    <row r="15" customFormat="false" ht="15" hidden="false" customHeight="false" outlineLevel="0" collapsed="false">
      <c r="A15" s="6" t="s">
        <v>44</v>
      </c>
      <c r="B15" s="9" t="n">
        <f aca="false">B14/B7</f>
        <v>0.229159152315829</v>
      </c>
      <c r="C15" s="9" t="n">
        <f aca="false">C14/C7</f>
        <v>0.180994942776292</v>
      </c>
      <c r="D15" s="9" t="n">
        <f aca="false">C15-B15</f>
        <v>-0.0481642095395362</v>
      </c>
      <c r="E15" s="9" t="n">
        <f aca="false">IFERROR((C15-B15)/B15,"")</f>
        <v>-0.210177987886584</v>
      </c>
      <c r="F15" s="10" t="s">
        <v>34</v>
      </c>
      <c r="G15" s="10" t="str">
        <f aca="false">IF(F15="Context","Context",IF(OR(AND(F15="Higher",E15&gt;0),AND(F15="Lower",E15&lt;0)),"Improvement","Decline"))</f>
        <v>Decline</v>
      </c>
    </row>
    <row r="16" customFormat="false" ht="15" hidden="false" customHeight="false" outlineLevel="0" collapsed="false">
      <c r="A16" s="6" t="s">
        <v>45</v>
      </c>
      <c r="B16" s="8" t="n">
        <f aca="false">B5/B14*1000</f>
        <v>1.12891395314036</v>
      </c>
      <c r="C16" s="8" t="n">
        <f aca="false">C5/C14*1000</f>
        <v>1.45254943030675</v>
      </c>
      <c r="D16" s="8" t="n">
        <f aca="false">C16-B16</f>
        <v>0.32363547716639</v>
      </c>
      <c r="E16" s="9" t="n">
        <f aca="false">IFERROR((C16-B16)/B16,"")</f>
        <v>0.286678604924775</v>
      </c>
      <c r="F16" s="10" t="s">
        <v>38</v>
      </c>
      <c r="G16" s="10" t="str">
        <f aca="false">IF(F16="Context","Context",IF(OR(AND(F16="Higher",E16&gt;0),AND(F16="Lower",E16&lt;0)),"Improvement","Decline"))</f>
        <v>Decline</v>
      </c>
    </row>
    <row r="17" customFormat="false" ht="15" hidden="false" customHeight="false" outlineLevel="0" collapsed="false">
      <c r="A17" s="13" t="s">
        <v>46</v>
      </c>
      <c r="B17" s="14" t="n">
        <f aca="false">SUM('Data BEFORE'!$G$2:$G$48)</f>
        <v>65974915</v>
      </c>
      <c r="C17" s="14" t="n">
        <f aca="false">SUM('Data AFTER'!$G$2:$G$52)</f>
        <v>61767357</v>
      </c>
      <c r="D17" s="15" t="n">
        <f aca="false">C17-B17</f>
        <v>-4207558</v>
      </c>
      <c r="E17" s="16" t="n">
        <f aca="false">IFERROR((C17-B17)/B17,"")</f>
        <v>-0.0637751181642295</v>
      </c>
      <c r="F17" s="13" t="s">
        <v>32</v>
      </c>
      <c r="G17" s="13" t="str">
        <f aca="false">IF(F17="Context","Context",IF(OR(AND(F17="Higher",E17&gt;0),AND(F17="Lower",E17&lt;0)),"Improvement","Decline"))</f>
        <v>Context</v>
      </c>
    </row>
    <row r="18" customFormat="false" ht="15" hidden="false" customHeight="false" outlineLevel="0" collapsed="false">
      <c r="A18" s="13" t="s">
        <v>47</v>
      </c>
      <c r="B18" s="21" t="n">
        <f aca="false">B5/B17*1000</f>
        <v>0.413125049119048</v>
      </c>
      <c r="C18" s="21" t="n">
        <f aca="false">C5/C17*1000</f>
        <v>0.397718490690803</v>
      </c>
      <c r="D18" s="21" t="n">
        <f aca="false">C18-B18</f>
        <v>-0.0154065584282448</v>
      </c>
      <c r="E18" s="16" t="n">
        <f aca="false">IFERROR((C18-B18)/B18,"")</f>
        <v>-0.037292723985384</v>
      </c>
      <c r="F18" s="13" t="s">
        <v>38</v>
      </c>
      <c r="G18" s="13" t="str">
        <f aca="false">IF(F18="Context","Context",IF(OR(AND(F18="Higher",E18&gt;0),AND(F18="Lower",E18&lt;0)),"Improvement","Decline"))</f>
        <v>Improvement</v>
      </c>
    </row>
    <row r="19" customFormat="false" ht="15" hidden="false" customHeight="false" outlineLevel="0" collapsed="false">
      <c r="A19" s="13" t="s">
        <v>4</v>
      </c>
      <c r="B19" s="14" t="n">
        <f aca="false">COUNTA('Data BEFORE'!$C$2:$C$48)</f>
        <v>47</v>
      </c>
      <c r="C19" s="14" t="n">
        <f aca="false">COUNTA('Data AFTER'!$C$2:$C$52)</f>
        <v>51</v>
      </c>
      <c r="D19" s="15" t="n">
        <f aca="false">C19-B19</f>
        <v>4</v>
      </c>
      <c r="E19" s="16" t="n">
        <f aca="false">IFERROR((C19-B19)/B19,"")</f>
        <v>0.0851063829787234</v>
      </c>
      <c r="F19" s="13" t="s">
        <v>32</v>
      </c>
      <c r="G19" s="13" t="str">
        <f aca="false">IF(F19="Context","Context",IF(OR(AND(F19="Higher",E19&gt;0),AND(F19="Lower",E19&lt;0)),"Improvement","Decline"))</f>
        <v>Context</v>
      </c>
    </row>
    <row r="21" customFormat="false" ht="15" hidden="false" customHeight="false" outlineLevel="0" collapsed="false">
      <c r="A21" s="3" t="s">
        <v>48</v>
      </c>
    </row>
    <row r="22" customFormat="false" ht="15" hidden="false" customHeight="false" outlineLevel="0" collapsed="false">
      <c r="A22" s="2" t="s">
        <v>49</v>
      </c>
    </row>
    <row r="23" customFormat="false" ht="15" hidden="false" customHeight="false" outlineLevel="0" collapsed="false">
      <c r="A23" s="2" t="s">
        <v>50</v>
      </c>
    </row>
    <row r="24" customFormat="false" ht="15" hidden="false" customHeight="false" outlineLevel="0" collapsed="false">
      <c r="A24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14" min="3" style="0" width="13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5" t="s">
        <v>10</v>
      </c>
      <c r="B4" s="5" t="s">
        <v>54</v>
      </c>
      <c r="C4" s="5" t="s">
        <v>55</v>
      </c>
      <c r="D4" s="5" t="s">
        <v>56</v>
      </c>
      <c r="E4" s="5" t="s">
        <v>35</v>
      </c>
      <c r="F4" s="5" t="s">
        <v>57</v>
      </c>
      <c r="G4" s="5" t="s">
        <v>58</v>
      </c>
      <c r="H4" s="5" t="s">
        <v>59</v>
      </c>
      <c r="I4" s="5" t="s">
        <v>39</v>
      </c>
      <c r="J4" s="5" t="s">
        <v>41</v>
      </c>
      <c r="K4" s="5" t="s">
        <v>42</v>
      </c>
      <c r="L4" s="5" t="s">
        <v>44</v>
      </c>
      <c r="M4" s="5" t="s">
        <v>60</v>
      </c>
      <c r="N4" s="5" t="s">
        <v>61</v>
      </c>
    </row>
    <row r="5" customFormat="false" ht="15" hidden="false" customHeight="false" outlineLevel="0" collapsed="false">
      <c r="A5" s="3" t="s">
        <v>62</v>
      </c>
      <c r="B5" s="13" t="s">
        <v>63</v>
      </c>
      <c r="C5" s="22" t="n">
        <f aca="false">SUMIFS('Data BEFORE'!$F$2:$F$48,'Data BEFORE'!$D$2:$D$48,$A5)</f>
        <v>24996.83</v>
      </c>
      <c r="D5" s="16" t="n">
        <f aca="false">C5/SUM('Data BEFORE'!$F$2:$F$48)</f>
        <v>0.917116630570493</v>
      </c>
      <c r="E5" s="14" t="n">
        <f aca="false">SUMIFS('Data BEFORE'!$H$2:$H$48,'Data BEFORE'!$D$2:$D$48,$A5)</f>
        <v>101449829</v>
      </c>
      <c r="F5" s="14" t="n">
        <f aca="false">SUMIFS('Data BEFORE'!$G$2:$G$48,'Data BEFORE'!$D$2:$D$48,$A5)</f>
        <v>64359864</v>
      </c>
      <c r="G5" s="14" t="n">
        <f aca="false">SUMIFS('Data BEFORE'!$I$2:$I$48,'Data BEFORE'!$D$2:$D$48,$A5)</f>
        <v>246549</v>
      </c>
      <c r="H5" s="14" t="n">
        <f aca="false">SUMIFS('Data BEFORE'!$J$2:$J$48,'Data BEFORE'!$D$2:$D$48,$A5)</f>
        <v>23235172</v>
      </c>
      <c r="I5" s="18" t="n">
        <f aca="false">IFERROR(C5/E5*1000,"")</f>
        <v>0.246395979632455</v>
      </c>
      <c r="J5" s="23" t="n">
        <f aca="false">IFERROR(G5/E5,"")</f>
        <v>0.00243025545168736</v>
      </c>
      <c r="K5" s="18" t="n">
        <f aca="false">IF(G5&gt;0,C5/G5,"")</f>
        <v>0.101386864274444</v>
      </c>
      <c r="L5" s="16" t="n">
        <f aca="false">IFERROR(H5/E5,"")</f>
        <v>0.229031159825809</v>
      </c>
      <c r="M5" s="21" t="n">
        <f aca="false">IFERROR(C5/H5*1000,"")</f>
        <v>1.07581859088454</v>
      </c>
      <c r="N5" s="21" t="n">
        <f aca="false">IFERROR(C5/F5*1000,"")</f>
        <v>0.388391591380616</v>
      </c>
    </row>
    <row r="6" customFormat="false" ht="15" hidden="false" customHeight="false" outlineLevel="0" collapsed="false">
      <c r="A6" s="24" t="s">
        <v>62</v>
      </c>
      <c r="B6" s="25" t="s">
        <v>64</v>
      </c>
      <c r="C6" s="26" t="n">
        <f aca="false">SUMIFS('Data AFTER'!$F$2:$F$52,'Data AFTER'!$D$2:$D$52,$A6)</f>
        <v>21656.15</v>
      </c>
      <c r="D6" s="27" t="n">
        <f aca="false">C6/SUM('Data AFTER'!$F$2:$F$52)</f>
        <v>0.881548985142893</v>
      </c>
      <c r="E6" s="28" t="n">
        <f aca="false">SUMIFS('Data AFTER'!$H$2:$H$52,'Data AFTER'!$D$2:$D$52,$A6)</f>
        <v>84266139</v>
      </c>
      <c r="F6" s="28" t="n">
        <f aca="false">SUMIFS('Data AFTER'!$G$2:$G$52,'Data AFTER'!$D$2:$D$52,$A6)</f>
        <v>55562199</v>
      </c>
      <c r="G6" s="28" t="n">
        <f aca="false">SUMIFS('Data AFTER'!$I$2:$I$52,'Data AFTER'!$D$2:$D$52,$A6)</f>
        <v>194229</v>
      </c>
      <c r="H6" s="28" t="n">
        <f aca="false">SUMIFS('Data AFTER'!$J$2:$J$52,'Data AFTER'!$D$2:$D$52,$A6)</f>
        <v>13328155</v>
      </c>
      <c r="I6" s="29" t="n">
        <f aca="false">IFERROR(C6/E6*1000,"")</f>
        <v>0.2569970602308</v>
      </c>
      <c r="J6" s="30" t="n">
        <f aca="false">IFERROR(G6/E6,"")</f>
        <v>0.00230494718643748</v>
      </c>
      <c r="K6" s="29" t="n">
        <f aca="false">IF(G6&gt;0,C6/G6,"")</f>
        <v>0.111498025526569</v>
      </c>
      <c r="L6" s="27" t="n">
        <f aca="false">IFERROR(H6/E6,"")</f>
        <v>0.158167386783913</v>
      </c>
      <c r="M6" s="31" t="n">
        <f aca="false">IFERROR(C6/H6*1000,"")</f>
        <v>1.62484229812754</v>
      </c>
      <c r="N6" s="31" t="n">
        <f aca="false">IFERROR(C6/F6*1000,"")</f>
        <v>0.389764091230443</v>
      </c>
    </row>
    <row r="7" customFormat="false" ht="15" hidden="false" customHeight="false" outlineLevel="0" collapsed="false">
      <c r="A7" s="3" t="s">
        <v>65</v>
      </c>
      <c r="B7" s="13" t="s">
        <v>63</v>
      </c>
      <c r="C7" s="22" t="n">
        <f aca="false">SUMIFS('Data BEFORE'!$F$2:$F$48,'Data BEFORE'!$D$2:$D$48,$A7)</f>
        <v>0</v>
      </c>
      <c r="D7" s="16" t="n">
        <f aca="false">C7/SUM('Data BEFORE'!$F$2:$F$48)</f>
        <v>0</v>
      </c>
      <c r="E7" s="14" t="n">
        <f aca="false">SUMIFS('Data BEFORE'!$H$2:$H$48,'Data BEFORE'!$D$2:$D$48,$A7)</f>
        <v>0</v>
      </c>
      <c r="F7" s="14" t="n">
        <f aca="false">SUMIFS('Data BEFORE'!$G$2:$G$48,'Data BEFORE'!$D$2:$D$48,$A7)</f>
        <v>0</v>
      </c>
      <c r="G7" s="14" t="n">
        <f aca="false">SUMIFS('Data BEFORE'!$I$2:$I$48,'Data BEFORE'!$D$2:$D$48,$A7)</f>
        <v>0</v>
      </c>
      <c r="H7" s="14" t="n">
        <f aca="false">SUMIFS('Data BEFORE'!$J$2:$J$48,'Data BEFORE'!$D$2:$D$48,$A7)</f>
        <v>0</v>
      </c>
      <c r="I7" s="18" t="str">
        <f aca="false">IFERROR(C7/E7*1000,"")</f>
        <v/>
      </c>
      <c r="J7" s="23" t="str">
        <f aca="false">IFERROR(G7/E7,"")</f>
        <v/>
      </c>
      <c r="K7" s="18" t="str">
        <f aca="false">IF(G7&gt;0,C7/G7,"")</f>
        <v/>
      </c>
      <c r="L7" s="16" t="str">
        <f aca="false">IFERROR(H7/E7,"")</f>
        <v/>
      </c>
      <c r="M7" s="21" t="str">
        <f aca="false">IFERROR(C7/H7*1000,"")</f>
        <v/>
      </c>
      <c r="N7" s="21" t="str">
        <f aca="false">IFERROR(C7/F7*1000,"")</f>
        <v/>
      </c>
    </row>
    <row r="8" customFormat="false" ht="15" hidden="false" customHeight="false" outlineLevel="0" collapsed="false">
      <c r="A8" s="24" t="s">
        <v>65</v>
      </c>
      <c r="B8" s="25" t="s">
        <v>64</v>
      </c>
      <c r="C8" s="26" t="n">
        <f aca="false">SUMIFS('Data AFTER'!$F$2:$F$52,'Data AFTER'!$D$2:$D$52,$A8)</f>
        <v>2115.28</v>
      </c>
      <c r="D8" s="27" t="n">
        <f aca="false">C8/SUM('Data AFTER'!$F$2:$F$52)</f>
        <v>0.0861059300611169</v>
      </c>
      <c r="E8" s="28" t="n">
        <f aca="false">SUMIFS('Data AFTER'!$H$2:$H$52,'Data AFTER'!$D$2:$D$52,$A8)</f>
        <v>6629810</v>
      </c>
      <c r="F8" s="28" t="n">
        <f aca="false">SUMIFS('Data AFTER'!$G$2:$G$52,'Data AFTER'!$D$2:$D$52,$A8)</f>
        <v>4947528</v>
      </c>
      <c r="G8" s="28" t="n">
        <f aca="false">SUMIFS('Data AFTER'!$I$2:$I$52,'Data AFTER'!$D$2:$D$52,$A8)</f>
        <v>10050</v>
      </c>
      <c r="H8" s="28" t="n">
        <f aca="false">SUMIFS('Data AFTER'!$J$2:$J$52,'Data AFTER'!$D$2:$D$52,$A8)</f>
        <v>2704406</v>
      </c>
      <c r="I8" s="29" t="n">
        <f aca="false">IFERROR(C8/E8*1000,"")</f>
        <v>0.31905590054617</v>
      </c>
      <c r="J8" s="30" t="n">
        <f aca="false">IFERROR(G8/E8,"")</f>
        <v>0.00151588054559633</v>
      </c>
      <c r="K8" s="29" t="n">
        <f aca="false">IF(G8&gt;0,C8/G8,"")</f>
        <v>0.210475621890547</v>
      </c>
      <c r="L8" s="27" t="n">
        <f aca="false">IFERROR(H8/E8,"")</f>
        <v>0.407916063959601</v>
      </c>
      <c r="M8" s="31" t="n">
        <f aca="false">IFERROR(C8/H8*1000,"")</f>
        <v>0.78216066670463</v>
      </c>
      <c r="N8" s="31" t="n">
        <f aca="false">IFERROR(C8/F8*1000,"")</f>
        <v>0.427542805215049</v>
      </c>
    </row>
    <row r="9" customFormat="false" ht="15" hidden="false" customHeight="false" outlineLevel="0" collapsed="false">
      <c r="A9" s="3" t="s">
        <v>66</v>
      </c>
      <c r="B9" s="13" t="s">
        <v>63</v>
      </c>
      <c r="C9" s="22" t="n">
        <f aca="false">SUMIFS('Data BEFORE'!$F$2:$F$48,'Data BEFORE'!$D$2:$D$48,$A9)</f>
        <v>2259.06</v>
      </c>
      <c r="D9" s="16" t="n">
        <f aca="false">C9/SUM('Data BEFORE'!$F$2:$F$48)</f>
        <v>0.0828833694295068</v>
      </c>
      <c r="E9" s="14" t="n">
        <f aca="false">SUMIFS('Data BEFORE'!$H$2:$H$48,'Data BEFORE'!$D$2:$D$48,$A9)</f>
        <v>3906910</v>
      </c>
      <c r="F9" s="14" t="n">
        <f aca="false">SUMIFS('Data BEFORE'!$G$2:$G$48,'Data BEFORE'!$D$2:$D$48,$A9)</f>
        <v>1615051</v>
      </c>
      <c r="G9" s="14" t="n">
        <f aca="false">SUMIFS('Data BEFORE'!$I$2:$I$48,'Data BEFORE'!$D$2:$D$48,$A9)</f>
        <v>0</v>
      </c>
      <c r="H9" s="14" t="n">
        <f aca="false">SUMIFS('Data BEFORE'!$J$2:$J$48,'Data BEFORE'!$D$2:$D$48,$A9)</f>
        <v>908289</v>
      </c>
      <c r="I9" s="18" t="n">
        <f aca="false">IFERROR(C9/E9*1000,"")</f>
        <v>0.578221663667707</v>
      </c>
      <c r="J9" s="23" t="n">
        <f aca="false">IFERROR(G9/E9,"")</f>
        <v>0</v>
      </c>
      <c r="K9" s="18" t="str">
        <f aca="false">IF(G9&gt;0,C9/G9,"")</f>
        <v/>
      </c>
      <c r="L9" s="16" t="n">
        <f aca="false">IFERROR(H9/E9,"")</f>
        <v>0.232482703722379</v>
      </c>
      <c r="M9" s="21" t="n">
        <f aca="false">IFERROR(C9/H9*1000,"")</f>
        <v>2.48715992376876</v>
      </c>
      <c r="N9" s="21" t="n">
        <f aca="false">IFERROR(C9/F9*1000,"")</f>
        <v>1.39875459041232</v>
      </c>
    </row>
    <row r="10" customFormat="false" ht="15" hidden="false" customHeight="false" outlineLevel="0" collapsed="false">
      <c r="A10" s="24" t="s">
        <v>66</v>
      </c>
      <c r="B10" s="25" t="s">
        <v>64</v>
      </c>
      <c r="C10" s="26" t="n">
        <f aca="false">SUMIFS('Data AFTER'!$F$2:$F$52,'Data AFTER'!$D$2:$D$52,$A10)</f>
        <v>167.47</v>
      </c>
      <c r="D10" s="27" t="n">
        <f aca="false">C10/SUM('Data AFTER'!$F$2:$F$52)</f>
        <v>0.00681714009839608</v>
      </c>
      <c r="E10" s="28" t="n">
        <f aca="false">SUMIFS('Data AFTER'!$H$2:$H$52,'Data AFTER'!$D$2:$D$52,$A10)</f>
        <v>264593</v>
      </c>
      <c r="F10" s="28" t="n">
        <f aca="false">SUMIFS('Data AFTER'!$G$2:$G$52,'Data AFTER'!$D$2:$D$52,$A10)</f>
        <v>130994</v>
      </c>
      <c r="G10" s="28" t="n">
        <f aca="false">SUMIFS('Data AFTER'!$I$2:$I$52,'Data AFTER'!$D$2:$D$52,$A10)</f>
        <v>0</v>
      </c>
      <c r="H10" s="28" t="n">
        <f aca="false">SUMIFS('Data AFTER'!$J$2:$J$52,'Data AFTER'!$D$2:$D$52,$A10)</f>
        <v>95236</v>
      </c>
      <c r="I10" s="29" t="n">
        <f aca="false">IFERROR(C10/E10*1000,"")</f>
        <v>0.632934355784167</v>
      </c>
      <c r="J10" s="30" t="n">
        <f aca="false">IFERROR(G10/E10,"")</f>
        <v>0</v>
      </c>
      <c r="K10" s="29" t="str">
        <f aca="false">IF(G10&gt;0,C10/G10,"")</f>
        <v/>
      </c>
      <c r="L10" s="27" t="n">
        <f aca="false">IFERROR(H10/E10,"")</f>
        <v>0.359933936271935</v>
      </c>
      <c r="M10" s="31" t="n">
        <f aca="false">IFERROR(C10/H10*1000,"")</f>
        <v>1.7584736864211</v>
      </c>
      <c r="N10" s="31" t="n">
        <f aca="false">IFERROR(C10/F10*1000,"")</f>
        <v>1.27845550177871</v>
      </c>
    </row>
    <row r="11" customFormat="false" ht="15" hidden="false" customHeight="false" outlineLevel="0" collapsed="false">
      <c r="A11" s="3" t="s">
        <v>67</v>
      </c>
      <c r="B11" s="13" t="s">
        <v>63</v>
      </c>
      <c r="C11" s="22" t="n">
        <f aca="false">SUMIFS('Data BEFORE'!$F$2:$F$48,'Data BEFORE'!$D$2:$D$48,$A11)</f>
        <v>0</v>
      </c>
      <c r="D11" s="16" t="n">
        <f aca="false">C11/SUM('Data BEFORE'!$F$2:$F$48)</f>
        <v>0</v>
      </c>
      <c r="E11" s="14" t="n">
        <f aca="false">SUMIFS('Data BEFORE'!$H$2:$H$48,'Data BEFORE'!$D$2:$D$48,$A11)</f>
        <v>0</v>
      </c>
      <c r="F11" s="14" t="n">
        <f aca="false">SUMIFS('Data BEFORE'!$G$2:$G$48,'Data BEFORE'!$D$2:$D$48,$A11)</f>
        <v>0</v>
      </c>
      <c r="G11" s="14" t="n">
        <f aca="false">SUMIFS('Data BEFORE'!$I$2:$I$48,'Data BEFORE'!$D$2:$D$48,$A11)</f>
        <v>0</v>
      </c>
      <c r="H11" s="14" t="n">
        <f aca="false">SUMIFS('Data BEFORE'!$J$2:$J$48,'Data BEFORE'!$D$2:$D$48,$A11)</f>
        <v>0</v>
      </c>
      <c r="I11" s="18" t="str">
        <f aca="false">IFERROR(C11/E11*1000,"")</f>
        <v/>
      </c>
      <c r="J11" s="23" t="str">
        <f aca="false">IFERROR(G11/E11,"")</f>
        <v/>
      </c>
      <c r="K11" s="18" t="str">
        <f aca="false">IF(G11&gt;0,C11/G11,"")</f>
        <v/>
      </c>
      <c r="L11" s="16" t="str">
        <f aca="false">IFERROR(H11/E11,"")</f>
        <v/>
      </c>
      <c r="M11" s="21" t="str">
        <f aca="false">IFERROR(C11/H11*1000,"")</f>
        <v/>
      </c>
      <c r="N11" s="21" t="str">
        <f aca="false">IFERROR(C11/F11*1000,"")</f>
        <v/>
      </c>
    </row>
    <row r="12" customFormat="false" ht="15" hidden="false" customHeight="false" outlineLevel="0" collapsed="false">
      <c r="A12" s="24" t="s">
        <v>67</v>
      </c>
      <c r="B12" s="25" t="s">
        <v>64</v>
      </c>
      <c r="C12" s="26" t="n">
        <f aca="false">SUMIFS('Data AFTER'!$F$2:$F$52,'Data AFTER'!$D$2:$D$52,$A12)</f>
        <v>621.95</v>
      </c>
      <c r="D12" s="27" t="n">
        <f aca="false">C12/SUM('Data AFTER'!$F$2:$F$52)</f>
        <v>0.0253174913966528</v>
      </c>
      <c r="E12" s="28" t="n">
        <f aca="false">SUMIFS('Data AFTER'!$H$2:$H$52,'Data AFTER'!$D$2:$D$52,$A12)</f>
        <v>2259715</v>
      </c>
      <c r="F12" s="28" t="n">
        <f aca="false">SUMIFS('Data AFTER'!$G$2:$G$52,'Data AFTER'!$D$2:$D$52,$A12)</f>
        <v>1107096</v>
      </c>
      <c r="G12" s="28" t="n">
        <f aca="false">SUMIFS('Data AFTER'!$I$2:$I$52,'Data AFTER'!$D$2:$D$52,$A12)</f>
        <v>1</v>
      </c>
      <c r="H12" s="28" t="n">
        <f aca="false">SUMIFS('Data AFTER'!$J$2:$J$52,'Data AFTER'!$D$2:$D$52,$A12)</f>
        <v>776955</v>
      </c>
      <c r="I12" s="29" t="n">
        <f aca="false">IFERROR(C12/E12*1000,"")</f>
        <v>0.275233823734409</v>
      </c>
      <c r="J12" s="30" t="n">
        <f aca="false">IFERROR(G12/E12,"")</f>
        <v>4.42533682344897E-007</v>
      </c>
      <c r="K12" s="29" t="n">
        <f aca="false">IF(G12&gt;0,C12/G12,"")</f>
        <v>621.95</v>
      </c>
      <c r="L12" s="27" t="n">
        <f aca="false">IFERROR(H12/E12,"")</f>
        <v>0.34382875716628</v>
      </c>
      <c r="M12" s="31" t="n">
        <f aca="false">IFERROR(C12/H12*1000,"")</f>
        <v>0.800496811269636</v>
      </c>
      <c r="N12" s="31" t="n">
        <f aca="false">IFERROR(C12/F12*1000,"")</f>
        <v>0.561785066516364</v>
      </c>
    </row>
    <row r="13" customFormat="false" ht="15" hidden="false" customHeight="false" outlineLevel="0" collapsed="false">
      <c r="A13" s="3" t="s">
        <v>68</v>
      </c>
      <c r="B13" s="13" t="s">
        <v>63</v>
      </c>
      <c r="C13" s="22" t="n">
        <f aca="false">SUMIFS('Data BEFORE'!$F$2:$F$48,'Data BEFORE'!$D$2:$D$48,$A13)</f>
        <v>0</v>
      </c>
      <c r="D13" s="16" t="n">
        <f aca="false">C13/SUM('Data BEFORE'!$F$2:$F$48)</f>
        <v>0</v>
      </c>
      <c r="E13" s="14" t="n">
        <f aca="false">SUMIFS('Data BEFORE'!$H$2:$H$48,'Data BEFORE'!$D$2:$D$48,$A13)</f>
        <v>0</v>
      </c>
      <c r="F13" s="14" t="n">
        <f aca="false">SUMIFS('Data BEFORE'!$G$2:$G$48,'Data BEFORE'!$D$2:$D$48,$A13)</f>
        <v>0</v>
      </c>
      <c r="G13" s="14" t="n">
        <f aca="false">SUMIFS('Data BEFORE'!$I$2:$I$48,'Data BEFORE'!$D$2:$D$48,$A13)</f>
        <v>0</v>
      </c>
      <c r="H13" s="14" t="n">
        <f aca="false">SUMIFS('Data BEFORE'!$J$2:$J$48,'Data BEFORE'!$D$2:$D$48,$A13)</f>
        <v>0</v>
      </c>
      <c r="I13" s="18" t="str">
        <f aca="false">IFERROR(C13/E13*1000,"")</f>
        <v/>
      </c>
      <c r="J13" s="23" t="str">
        <f aca="false">IFERROR(G13/E13,"")</f>
        <v/>
      </c>
      <c r="K13" s="18" t="str">
        <f aca="false">IF(G13&gt;0,C13/G13,"")</f>
        <v/>
      </c>
      <c r="L13" s="16" t="str">
        <f aca="false">IFERROR(H13/E13,"")</f>
        <v/>
      </c>
      <c r="M13" s="21" t="str">
        <f aca="false">IFERROR(C13/H13*1000,"")</f>
        <v/>
      </c>
      <c r="N13" s="21" t="str">
        <f aca="false">IFERROR(C13/F13*1000,"")</f>
        <v/>
      </c>
    </row>
    <row r="14" customFormat="false" ht="15" hidden="false" customHeight="false" outlineLevel="0" collapsed="false">
      <c r="A14" s="24" t="s">
        <v>68</v>
      </c>
      <c r="B14" s="25" t="s">
        <v>64</v>
      </c>
      <c r="C14" s="26" t="n">
        <f aca="false">SUMIFS('Data AFTER'!$F$2:$F$52,'Data AFTER'!$D$2:$D$52,$A14)</f>
        <v>5.17</v>
      </c>
      <c r="D14" s="27" t="n">
        <f aca="false">C14/SUM('Data AFTER'!$F$2:$F$52)</f>
        <v>0.000210453300941707</v>
      </c>
      <c r="E14" s="28" t="n">
        <f aca="false">SUMIFS('Data AFTER'!$H$2:$H$52,'Data AFTER'!$D$2:$D$52,$A14)</f>
        <v>20735</v>
      </c>
      <c r="F14" s="28" t="n">
        <f aca="false">SUMIFS('Data AFTER'!$G$2:$G$52,'Data AFTER'!$D$2:$D$52,$A14)</f>
        <v>19540</v>
      </c>
      <c r="G14" s="28" t="n">
        <f aca="false">SUMIFS('Data AFTER'!$I$2:$I$52,'Data AFTER'!$D$2:$D$52,$A14)</f>
        <v>116</v>
      </c>
      <c r="H14" s="28" t="n">
        <f aca="false">SUMIFS('Data AFTER'!$J$2:$J$52,'Data AFTER'!$D$2:$D$52,$A14)</f>
        <v>7595</v>
      </c>
      <c r="I14" s="29" t="n">
        <f aca="false">IFERROR(C14/E14*1000,"")</f>
        <v>0.249336870026525</v>
      </c>
      <c r="J14" s="30" t="n">
        <f aca="false">IFERROR(G14/E14,"")</f>
        <v>0.00559440559440559</v>
      </c>
      <c r="K14" s="29" t="n">
        <f aca="false">IF(G14&gt;0,C14/G14,"")</f>
        <v>0.0445689655172414</v>
      </c>
      <c r="L14" s="27" t="n">
        <f aca="false">IFERROR(H14/E14,"")</f>
        <v>0.366288883530263</v>
      </c>
      <c r="M14" s="31" t="n">
        <f aca="false">IFERROR(C14/H14*1000,"")</f>
        <v>0.680710994075049</v>
      </c>
      <c r="N14" s="31" t="n">
        <f aca="false">IFERROR(C14/F14*1000,"")</f>
        <v>0.264585465711361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8" min="2" style="0" width="11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1.5" hidden="false" customHeight="true" outlineLevel="0" collapsed="false">
      <c r="A4" s="5" t="s">
        <v>12</v>
      </c>
      <c r="B4" s="5" t="s">
        <v>71</v>
      </c>
      <c r="C4" s="5" t="s">
        <v>72</v>
      </c>
      <c r="D4" s="5" t="s">
        <v>73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80</v>
      </c>
      <c r="L4" s="5" t="s">
        <v>81</v>
      </c>
      <c r="M4" s="5" t="s">
        <v>82</v>
      </c>
      <c r="N4" s="5" t="s">
        <v>83</v>
      </c>
      <c r="O4" s="5" t="s">
        <v>84</v>
      </c>
      <c r="P4" s="5" t="s">
        <v>85</v>
      </c>
      <c r="Q4" s="5" t="s">
        <v>86</v>
      </c>
      <c r="R4" s="5" t="s">
        <v>87</v>
      </c>
    </row>
    <row r="5" customFormat="false" ht="15" hidden="false" customHeight="false" outlineLevel="0" collapsed="false">
      <c r="A5" s="3" t="s">
        <v>88</v>
      </c>
      <c r="B5" s="15" t="n">
        <f aca="false">COUNTIFS('Data BEFORE'!$E$2:$E$48,$A5,'Data BEFORE'!$D$2:$D$48,"Reach")</f>
        <v>17</v>
      </c>
      <c r="C5" s="15" t="n">
        <f aca="false">COUNTIFS('Data AFTER'!$E$2:$E$52,$A5,'Data AFTER'!$D$2:$D$52,"Reach")</f>
        <v>7</v>
      </c>
      <c r="D5" s="22" t="n">
        <f aca="false">SUMIFS('Data BEFORE'!$F$2:$F$48,'Data BEFORE'!$E$2:$E$48,$A5,'Data BEFORE'!$D$2:$D$48,"Reach")</f>
        <v>7001.92</v>
      </c>
      <c r="E5" s="22" t="n">
        <f aca="false">SUMIFS('Data AFTER'!$F$2:$F$52,'Data AFTER'!$E$2:$E$52,$A5,'Data AFTER'!$D$2:$D$52,"Reach")</f>
        <v>3310</v>
      </c>
      <c r="F5" s="18" t="n">
        <f aca="false">D5/SUMIFS('Data BEFORE'!$G$2:$G$48,'Data BEFORE'!$E$2:$E$48,$A5,'Data BEFORE'!$D$2:$D$48,"Reach")*1000</f>
        <v>0.343052682460597</v>
      </c>
      <c r="G5" s="18" t="n">
        <f aca="false">E5/SUMIFS('Data AFTER'!$G$2:$G$52,'Data AFTER'!$E$2:$E$52,$A5,'Data AFTER'!$D$2:$D$52,"Reach")*1000</f>
        <v>0.33781328865625</v>
      </c>
      <c r="H5" s="16" t="n">
        <f aca="false">(G5-F5)/F5</f>
        <v>-0.0152728547894343</v>
      </c>
      <c r="I5" s="18" t="n">
        <f aca="false">D5/SUMIFS('Data BEFORE'!$H$2:$H$48,'Data BEFORE'!$E$2:$E$48,$A5,'Data BEFORE'!$D$2:$D$48,"Reach")*1000</f>
        <v>0.277376825079747</v>
      </c>
      <c r="J5" s="18" t="n">
        <f aca="false">E5/SUMIFS('Data AFTER'!$H$2:$H$52,'Data AFTER'!$E$2:$E$52,$A5,'Data AFTER'!$D$2:$D$52,"Reach")*1000</f>
        <v>0.28862978286146</v>
      </c>
      <c r="K5" s="23" t="n">
        <f aca="false">SUMIFS('Data BEFORE'!$I$2:$I$48,'Data BEFORE'!$E$2:$E$48,$A5,'Data BEFORE'!$D$2:$D$48,"Reach")/SUMIFS('Data BEFORE'!$H$2:$H$48,'Data BEFORE'!$E$2:$E$48,$A5,'Data BEFORE'!$D$2:$D$48,"Reach")</f>
        <v>0.00216258944088599</v>
      </c>
      <c r="L5" s="23" t="n">
        <f aca="false">SUMIFS('Data AFTER'!$I$2:$I$52,'Data AFTER'!$E$2:$E$52,$A5,'Data AFTER'!$D$2:$D$52,"Reach")/SUMIFS('Data AFTER'!$H$2:$H$52,'Data AFTER'!$E$2:$E$52,$A5,'Data AFTER'!$D$2:$D$52,"Reach")</f>
        <v>0.00226718258441026</v>
      </c>
      <c r="M5" s="16" t="n">
        <f aca="false">(L5-K5)/K5</f>
        <v>0.0483647712075277</v>
      </c>
      <c r="N5" s="16" t="n">
        <f aca="false">SUMIFS('Data BEFORE'!$J$2:$J$48,'Data BEFORE'!$E$2:$E$48,$A5,'Data BEFORE'!$D$2:$D$48,"Reach")/SUMIFS('Data BEFORE'!$H$2:$H$48,'Data BEFORE'!$E$2:$E$48,$A5,'Data BEFORE'!$D$2:$D$48,"Reach")</f>
        <v>0.239138039885278</v>
      </c>
      <c r="O5" s="16" t="n">
        <f aca="false">SUMIFS('Data AFTER'!$J$2:$J$52,'Data AFTER'!$E$2:$E$52,$A5,'Data AFTER'!$D$2:$D$52,"Reach")/SUMIFS('Data AFTER'!$H$2:$H$52,'Data AFTER'!$E$2:$E$52,$A5,'Data AFTER'!$D$2:$D$52,"Reach")</f>
        <v>0.268705695110332</v>
      </c>
      <c r="P5" s="16" t="n">
        <f aca="false">(O5-N5)/N5</f>
        <v>0.123642625988064</v>
      </c>
      <c r="Q5" s="17" t="n">
        <f aca="false">SUMIFS('Data BEFORE'!$H$2:$H$48,'Data BEFORE'!$E$2:$E$48,$A5,'Data BEFORE'!$D$2:$D$48,"Reach")/SUMIFS('Data BEFORE'!$G$2:$G$48,'Data BEFORE'!$E$2:$E$48,$A5,'Data BEFORE'!$D$2:$D$48,"Reach")</f>
        <v>1.23677485443122</v>
      </c>
      <c r="R5" s="17" t="n">
        <f aca="false">SUMIFS('Data AFTER'!$H$2:$H$52,'Data AFTER'!$E$2:$E$52,$A5,'Data AFTER'!$D$2:$D$52,"Reach")/SUMIFS('Data AFTER'!$G$2:$G$52,'Data AFTER'!$E$2:$E$52,$A5,'Data AFTER'!$D$2:$D$52,"Reach")</f>
        <v>1.17040343275454</v>
      </c>
    </row>
    <row r="6" customFormat="false" ht="15" hidden="false" customHeight="false" outlineLevel="0" collapsed="false">
      <c r="A6" s="3" t="s">
        <v>89</v>
      </c>
      <c r="B6" s="15" t="n">
        <f aca="false">COUNTIFS('Data BEFORE'!$E$2:$E$48,$A6,'Data BEFORE'!$D$2:$D$48,"Reach")</f>
        <v>1</v>
      </c>
      <c r="C6" s="15" t="n">
        <f aca="false">COUNTIFS('Data AFTER'!$E$2:$E$52,$A6,'Data AFTER'!$D$2:$D$52,"Reach")</f>
        <v>9</v>
      </c>
      <c r="D6" s="22" t="n">
        <f aca="false">SUMIFS('Data BEFORE'!$F$2:$F$48,'Data BEFORE'!$E$2:$E$48,$A6,'Data BEFORE'!$D$2:$D$48,"Reach")</f>
        <v>433.33</v>
      </c>
      <c r="E6" s="22" t="n">
        <f aca="false">SUMIFS('Data AFTER'!$F$2:$F$52,'Data AFTER'!$E$2:$E$52,$A6,'Data AFTER'!$D$2:$D$52,"Reach")</f>
        <v>3846.38</v>
      </c>
      <c r="F6" s="18" t="n">
        <f aca="false">D6/SUMIFS('Data BEFORE'!$G$2:$G$48,'Data BEFORE'!$E$2:$E$48,$A6,'Data BEFORE'!$D$2:$D$48,"Reach")*1000</f>
        <v>0.423506760685891</v>
      </c>
      <c r="G6" s="18" t="n">
        <f aca="false">E6/SUMIFS('Data AFTER'!$G$2:$G$52,'Data AFTER'!$E$2:$E$52,$A6,'Data AFTER'!$D$2:$D$52,"Reach")*1000</f>
        <v>0.305285698865332</v>
      </c>
      <c r="H6" s="16" t="n">
        <f aca="false">(G6-F6)/F6</f>
        <v>-0.279147991944907</v>
      </c>
      <c r="I6" s="18" t="n">
        <f aca="false">D6/SUMIFS('Data BEFORE'!$H$2:$H$48,'Data BEFORE'!$E$2:$E$48,$A6,'Data BEFORE'!$D$2:$D$48,"Reach")*1000</f>
        <v>0.372512172645247</v>
      </c>
      <c r="J6" s="18" t="n">
        <f aca="false">E6/SUMIFS('Data AFTER'!$H$2:$H$52,'Data AFTER'!$E$2:$E$52,$A6,'Data AFTER'!$D$2:$D$52,"Reach")*1000</f>
        <v>0.232175472064614</v>
      </c>
      <c r="K6" s="23" t="n">
        <f aca="false">SUMIFS('Data BEFORE'!$I$2:$I$48,'Data BEFORE'!$E$2:$E$48,$A6,'Data BEFORE'!$D$2:$D$48,"Reach")/SUMIFS('Data BEFORE'!$H$2:$H$48,'Data BEFORE'!$E$2:$E$48,$A6,'Data BEFORE'!$D$2:$D$48,"Reach")</f>
        <v>0.00232019558758803</v>
      </c>
      <c r="L6" s="23" t="n">
        <f aca="false">SUMIFS('Data AFTER'!$I$2:$I$52,'Data AFTER'!$E$2:$E$52,$A6,'Data AFTER'!$D$2:$D$52,"Reach")/SUMIFS('Data AFTER'!$H$2:$H$52,'Data AFTER'!$E$2:$E$52,$A6,'Data AFTER'!$D$2:$D$52,"Reach")</f>
        <v>0.00243373843930479</v>
      </c>
      <c r="M6" s="16" t="n">
        <f aca="false">(L6-K6)/K6</f>
        <v>0.0489367587474787</v>
      </c>
      <c r="N6" s="16" t="n">
        <f aca="false">SUMIFS('Data BEFORE'!$J$2:$J$48,'Data BEFORE'!$E$2:$E$48,$A6,'Data BEFORE'!$D$2:$D$48,"Reach")/SUMIFS('Data BEFORE'!$H$2:$H$48,'Data BEFORE'!$E$2:$E$48,$A6,'Data BEFORE'!$D$2:$D$48,"Reach")</f>
        <v>0.202971982284331</v>
      </c>
      <c r="O6" s="16" t="n">
        <f aca="false">SUMIFS('Data AFTER'!$J$2:$J$52,'Data AFTER'!$E$2:$E$52,$A6,'Data AFTER'!$D$2:$D$52,"Reach")/SUMIFS('Data AFTER'!$H$2:$H$52,'Data AFTER'!$E$2:$E$52,$A6,'Data AFTER'!$D$2:$D$52,"Reach")</f>
        <v>0.1301785377336</v>
      </c>
      <c r="P6" s="16" t="n">
        <f aca="false">(O6-N6)/N6</f>
        <v>-0.358637895395629</v>
      </c>
      <c r="Q6" s="17" t="n">
        <f aca="false">SUMIFS('Data BEFORE'!$H$2:$H$48,'Data BEFORE'!$E$2:$E$48,$A6,'Data BEFORE'!$D$2:$D$48,"Reach")/SUMIFS('Data BEFORE'!$G$2:$G$48,'Data BEFORE'!$E$2:$E$48,$A6,'Data BEFORE'!$D$2:$D$48,"Reach")</f>
        <v>1.13689374948079</v>
      </c>
      <c r="R6" s="17" t="n">
        <f aca="false">SUMIFS('Data AFTER'!$H$2:$H$52,'Data AFTER'!$E$2:$E$52,$A6,'Data AFTER'!$D$2:$D$52,"Reach")/SUMIFS('Data AFTER'!$G$2:$G$52,'Data AFTER'!$E$2:$E$52,$A6,'Data AFTER'!$D$2:$D$52,"Reach")</f>
        <v>1.3148921208196</v>
      </c>
    </row>
    <row r="7" customFormat="false" ht="15" hidden="false" customHeight="false" outlineLevel="0" collapsed="false">
      <c r="A7" s="3" t="s">
        <v>90</v>
      </c>
      <c r="B7" s="15" t="n">
        <f aca="false">COUNTIFS('Data BEFORE'!$E$2:$E$48,$A7,'Data BEFORE'!$D$2:$D$48,"Reach")</f>
        <v>2</v>
      </c>
      <c r="C7" s="15" t="n">
        <f aca="false">COUNTIFS('Data AFTER'!$E$2:$E$52,$A7,'Data AFTER'!$D$2:$D$52,"Reach")</f>
        <v>2</v>
      </c>
      <c r="D7" s="22" t="n">
        <f aca="false">SUMIFS('Data BEFORE'!$F$2:$F$48,'Data BEFORE'!$E$2:$E$48,$A7,'Data BEFORE'!$D$2:$D$48,"Reach")</f>
        <v>970.04</v>
      </c>
      <c r="E7" s="22" t="n">
        <f aca="false">SUMIFS('Data AFTER'!$F$2:$F$52,'Data AFTER'!$E$2:$E$52,$A7,'Data AFTER'!$D$2:$D$52,"Reach")</f>
        <v>756.63</v>
      </c>
      <c r="F7" s="18" t="n">
        <f aca="false">D7/SUMIFS('Data BEFORE'!$G$2:$G$48,'Data BEFORE'!$E$2:$E$48,$A7,'Data BEFORE'!$D$2:$D$48,"Reach")*1000</f>
        <v>0.308987207182987</v>
      </c>
      <c r="G7" s="18" t="n">
        <f aca="false">E7/SUMIFS('Data AFTER'!$G$2:$G$52,'Data AFTER'!$E$2:$E$52,$A7,'Data AFTER'!$D$2:$D$52,"Reach")*1000</f>
        <v>0.225178184592959</v>
      </c>
      <c r="H7" s="16" t="n">
        <f aca="false">(G7-F7)/F7</f>
        <v>-0.271237839760775</v>
      </c>
      <c r="I7" s="18" t="n">
        <f aca="false">D7/SUMIFS('Data BEFORE'!$H$2:$H$48,'Data BEFORE'!$E$2:$E$48,$A7,'Data BEFORE'!$D$2:$D$48,"Reach")*1000</f>
        <v>0.174179071326261</v>
      </c>
      <c r="J7" s="18" t="n">
        <f aca="false">E7/SUMIFS('Data AFTER'!$H$2:$H$52,'Data AFTER'!$E$2:$E$52,$A7,'Data AFTER'!$D$2:$D$52,"Reach")*1000</f>
        <v>0.212600057994861</v>
      </c>
      <c r="K7" s="23" t="n">
        <f aca="false">SUMIFS('Data BEFORE'!$I$2:$I$48,'Data BEFORE'!$E$2:$E$48,$A7,'Data BEFORE'!$D$2:$D$48,"Reach")/SUMIFS('Data BEFORE'!$H$2:$H$48,'Data BEFORE'!$E$2:$E$48,$A7,'Data BEFORE'!$D$2:$D$48,"Reach")</f>
        <v>0.0019252278285021</v>
      </c>
      <c r="L7" s="23" t="n">
        <f aca="false">SUMIFS('Data AFTER'!$I$2:$I$52,'Data AFTER'!$E$2:$E$52,$A7,'Data AFTER'!$D$2:$D$52,"Reach")/SUMIFS('Data AFTER'!$H$2:$H$52,'Data AFTER'!$E$2:$E$52,$A7,'Data AFTER'!$D$2:$D$52,"Reach")</f>
        <v>0.00212085859369205</v>
      </c>
      <c r="M7" s="16" t="n">
        <f aca="false">(L7-K7)/K7</f>
        <v>0.101614345218642</v>
      </c>
      <c r="N7" s="16" t="n">
        <f aca="false">SUMIFS('Data BEFORE'!$J$2:$J$48,'Data BEFORE'!$E$2:$E$48,$A7,'Data BEFORE'!$D$2:$D$48,"Reach")/SUMIFS('Data BEFORE'!$H$2:$H$48,'Data BEFORE'!$E$2:$E$48,$A7,'Data BEFORE'!$D$2:$D$48,"Reach")</f>
        <v>0.274484841748679</v>
      </c>
      <c r="O7" s="16" t="n">
        <f aca="false">SUMIFS('Data AFTER'!$J$2:$J$52,'Data AFTER'!$E$2:$E$52,$A7,'Data AFTER'!$D$2:$D$52,"Reach")/SUMIFS('Data AFTER'!$H$2:$H$52,'Data AFTER'!$E$2:$E$52,$A7,'Data AFTER'!$D$2:$D$52,"Reach")</f>
        <v>0.146802021727842</v>
      </c>
      <c r="P7" s="16" t="n">
        <f aca="false">(O7-N7)/N7</f>
        <v>-0.465172572763578</v>
      </c>
      <c r="Q7" s="17" t="n">
        <f aca="false">SUMIFS('Data BEFORE'!$H$2:$H$48,'Data BEFORE'!$E$2:$E$48,$A7,'Data BEFORE'!$D$2:$D$48,"Reach")/SUMIFS('Data BEFORE'!$G$2:$G$48,'Data BEFORE'!$E$2:$E$48,$A7,'Data BEFORE'!$D$2:$D$48,"Reach")</f>
        <v>1.77396288101807</v>
      </c>
      <c r="R7" s="17" t="n">
        <f aca="false">SUMIFS('Data AFTER'!$H$2:$H$52,'Data AFTER'!$E$2:$E$52,$A7,'Data AFTER'!$D$2:$D$52,"Reach")/SUMIFS('Data AFTER'!$G$2:$G$52,'Data AFTER'!$E$2:$E$52,$A7,'Data AFTER'!$D$2:$D$52,"Reach")</f>
        <v>1.05916332627906</v>
      </c>
    </row>
    <row r="8" customFormat="false" ht="15" hidden="false" customHeight="false" outlineLevel="0" collapsed="false">
      <c r="A8" s="3" t="s">
        <v>91</v>
      </c>
      <c r="B8" s="15" t="n">
        <f aca="false">COUNTIFS('Data BEFORE'!$E$2:$E$48,$A8,'Data BEFORE'!$D$2:$D$48,"Reach")</f>
        <v>1</v>
      </c>
      <c r="C8" s="15" t="n">
        <f aca="false">COUNTIFS('Data AFTER'!$E$2:$E$52,$A8,'Data AFTER'!$D$2:$D$52,"Reach")</f>
        <v>12</v>
      </c>
      <c r="D8" s="22" t="n">
        <f aca="false">SUMIFS('Data BEFORE'!$F$2:$F$48,'Data BEFORE'!$E$2:$E$48,$A8,'Data BEFORE'!$D$2:$D$48,"Reach")</f>
        <v>621.47</v>
      </c>
      <c r="E8" s="22" t="n">
        <f aca="false">SUMIFS('Data AFTER'!$F$2:$F$52,'Data AFTER'!$E$2:$E$52,$A8,'Data AFTER'!$D$2:$D$52,"Reach")</f>
        <v>3571.04</v>
      </c>
      <c r="F8" s="18" t="n">
        <f aca="false">D8/SUMIFS('Data BEFORE'!$G$2:$G$48,'Data BEFORE'!$E$2:$E$48,$A8,'Data BEFORE'!$D$2:$D$48,"Reach")*1000</f>
        <v>0.339831175314872</v>
      </c>
      <c r="G8" s="18" t="n">
        <f aca="false">E8/SUMIFS('Data AFTER'!$G$2:$G$52,'Data AFTER'!$E$2:$E$52,$A8,'Data AFTER'!$D$2:$D$52,"Reach")*1000</f>
        <v>0.370254130837904</v>
      </c>
      <c r="H8" s="16" t="n">
        <f aca="false">(G8-F8)/F8</f>
        <v>0.089523733350374</v>
      </c>
      <c r="I8" s="18" t="n">
        <f aca="false">D8/SUMIFS('Data BEFORE'!$H$2:$H$48,'Data BEFORE'!$E$2:$E$48,$A8,'Data BEFORE'!$D$2:$D$48,"Reach")*1000</f>
        <v>0.198569273667868</v>
      </c>
      <c r="J8" s="18" t="n">
        <f aca="false">E8/SUMIFS('Data AFTER'!$H$2:$H$52,'Data AFTER'!$E$2:$E$52,$A8,'Data AFTER'!$D$2:$D$52,"Reach")*1000</f>
        <v>0.265894600590725</v>
      </c>
      <c r="K8" s="23" t="n">
        <f aca="false">SUMIFS('Data BEFORE'!$I$2:$I$48,'Data BEFORE'!$E$2:$E$48,$A8,'Data BEFORE'!$D$2:$D$48,"Reach")/SUMIFS('Data BEFORE'!$H$2:$H$48,'Data BEFORE'!$E$2:$E$48,$A8,'Data BEFORE'!$D$2:$D$48,"Reach")</f>
        <v>0.00258775572020542</v>
      </c>
      <c r="L8" s="23" t="n">
        <f aca="false">SUMIFS('Data AFTER'!$I$2:$I$52,'Data AFTER'!$E$2:$E$52,$A8,'Data AFTER'!$D$2:$D$52,"Reach")/SUMIFS('Data AFTER'!$H$2:$H$52,'Data AFTER'!$E$2:$E$52,$A8,'Data AFTER'!$D$2:$D$52,"Reach")</f>
        <v>0.00244209281054667</v>
      </c>
      <c r="M8" s="16" t="n">
        <f aca="false">(L8-K8)/K8</f>
        <v>-0.0562892812955264</v>
      </c>
      <c r="N8" s="16" t="n">
        <f aca="false">SUMIFS('Data BEFORE'!$J$2:$J$48,'Data BEFORE'!$E$2:$E$48,$A8,'Data BEFORE'!$D$2:$D$48,"Reach")/SUMIFS('Data BEFORE'!$H$2:$H$48,'Data BEFORE'!$E$2:$E$48,$A8,'Data BEFORE'!$D$2:$D$48,"Reach")</f>
        <v>0.165250201374619</v>
      </c>
      <c r="O8" s="16" t="n">
        <f aca="false">SUMIFS('Data AFTER'!$J$2:$J$52,'Data AFTER'!$E$2:$E$52,$A8,'Data AFTER'!$D$2:$D$52,"Reach")/SUMIFS('Data AFTER'!$H$2:$H$52,'Data AFTER'!$E$2:$E$52,$A8,'Data AFTER'!$D$2:$D$52,"Reach")</f>
        <v>0.146270920257531</v>
      </c>
      <c r="P8" s="16" t="n">
        <f aca="false">(O8-N8)/N8</f>
        <v>-0.114851788132241</v>
      </c>
      <c r="Q8" s="17" t="n">
        <f aca="false">SUMIFS('Data BEFORE'!$H$2:$H$48,'Data BEFORE'!$E$2:$E$48,$A8,'Data BEFORE'!$D$2:$D$48,"Reach")/SUMIFS('Data BEFORE'!$G$2:$G$48,'Data BEFORE'!$E$2:$E$48,$A8,'Data BEFORE'!$D$2:$D$48,"Reach")</f>
        <v>1.71139859172412</v>
      </c>
      <c r="R8" s="17" t="n">
        <f aca="false">SUMIFS('Data AFTER'!$H$2:$H$52,'Data AFTER'!$E$2:$E$52,$A8,'Data AFTER'!$D$2:$D$52,"Reach")/SUMIFS('Data AFTER'!$G$2:$G$52,'Data AFTER'!$E$2:$E$52,$A8,'Data AFTER'!$D$2:$D$52,"Reach")</f>
        <v>1.39248457853348</v>
      </c>
    </row>
    <row r="9" customFormat="false" ht="15" hidden="false" customHeight="false" outlineLevel="0" collapsed="false">
      <c r="A9" s="3" t="s">
        <v>92</v>
      </c>
      <c r="B9" s="15" t="n">
        <f aca="false">COUNTIFS('Data BEFORE'!$E$2:$E$48,$A9,'Data BEFORE'!$D$2:$D$48,"Reach")</f>
        <v>3</v>
      </c>
      <c r="C9" s="15" t="n">
        <f aca="false">COUNTIFS('Data AFTER'!$E$2:$E$52,$A9,'Data AFTER'!$D$2:$D$52,"Reach")</f>
        <v>4</v>
      </c>
      <c r="D9" s="22" t="n">
        <f aca="false">SUMIFS('Data BEFORE'!$F$2:$F$48,'Data BEFORE'!$E$2:$E$48,$A9,'Data BEFORE'!$D$2:$D$48,"Reach")</f>
        <v>2364.25</v>
      </c>
      <c r="E9" s="22" t="n">
        <f aca="false">SUMIFS('Data AFTER'!$F$2:$F$52,'Data AFTER'!$E$2:$E$52,$A9,'Data AFTER'!$D$2:$D$52,"Reach")</f>
        <v>5510.01</v>
      </c>
      <c r="F9" s="18" t="n">
        <f aca="false">D9/SUMIFS('Data BEFORE'!$G$2:$G$48,'Data BEFORE'!$E$2:$E$48,$A9,'Data BEFORE'!$D$2:$D$48,"Reach")*1000</f>
        <v>0.387570340102912</v>
      </c>
      <c r="G9" s="18" t="n">
        <f aca="false">E9/SUMIFS('Data AFTER'!$G$2:$G$52,'Data AFTER'!$E$2:$E$52,$A9,'Data AFTER'!$D$2:$D$52,"Reach")*1000</f>
        <v>0.655942170528941</v>
      </c>
      <c r="H9" s="16" t="n">
        <f aca="false">(G9-F9)/F9</f>
        <v>0.692446770706882</v>
      </c>
      <c r="I9" s="18" t="n">
        <f aca="false">D9/SUMIFS('Data BEFORE'!$H$2:$H$48,'Data BEFORE'!$E$2:$E$48,$A9,'Data BEFORE'!$D$2:$D$48,"Reach")*1000</f>
        <v>0.246603330524397</v>
      </c>
      <c r="J9" s="18" t="n">
        <f aca="false">E9/SUMIFS('Data AFTER'!$H$2:$H$52,'Data AFTER'!$E$2:$E$52,$A9,'Data AFTER'!$D$2:$D$52,"Reach")*1000</f>
        <v>0.292113289492386</v>
      </c>
      <c r="K9" s="23" t="n">
        <f aca="false">SUMIFS('Data BEFORE'!$I$2:$I$48,'Data BEFORE'!$E$2:$E$48,$A9,'Data BEFORE'!$D$2:$D$48,"Reach")/SUMIFS('Data BEFORE'!$H$2:$H$48,'Data BEFORE'!$E$2:$E$48,$A9,'Data BEFORE'!$D$2:$D$48,"Reach")</f>
        <v>0.00233716435531782</v>
      </c>
      <c r="L9" s="23" t="n">
        <f aca="false">SUMIFS('Data AFTER'!$I$2:$I$52,'Data AFTER'!$E$2:$E$52,$A9,'Data AFTER'!$D$2:$D$52,"Reach")/SUMIFS('Data AFTER'!$H$2:$H$52,'Data AFTER'!$E$2:$E$52,$A9,'Data AFTER'!$D$2:$D$52,"Reach")</f>
        <v>0.00248306448444828</v>
      </c>
      <c r="M9" s="16" t="n">
        <f aca="false">(L9-K9)/K9</f>
        <v>0.062426131392295</v>
      </c>
      <c r="N9" s="16" t="n">
        <f aca="false">SUMIFS('Data BEFORE'!$J$2:$J$48,'Data BEFORE'!$E$2:$E$48,$A9,'Data BEFORE'!$D$2:$D$48,"Reach")/SUMIFS('Data BEFORE'!$H$2:$H$48,'Data BEFORE'!$E$2:$E$48,$A9,'Data BEFORE'!$D$2:$D$48,"Reach")</f>
        <v>0.166673707260855</v>
      </c>
      <c r="O9" s="16" t="n">
        <f aca="false">SUMIFS('Data AFTER'!$J$2:$J$52,'Data AFTER'!$E$2:$E$52,$A9,'Data AFTER'!$D$2:$D$52,"Reach")/SUMIFS('Data AFTER'!$H$2:$H$52,'Data AFTER'!$E$2:$E$52,$A9,'Data AFTER'!$D$2:$D$52,"Reach")</f>
        <v>0.1845071662788</v>
      </c>
      <c r="P9" s="16" t="n">
        <f aca="false">(O9-N9)/N9</f>
        <v>0.10699623420528</v>
      </c>
      <c r="Q9" s="17" t="n">
        <f aca="false">SUMIFS('Data BEFORE'!$H$2:$H$48,'Data BEFORE'!$E$2:$E$48,$A9,'Data BEFORE'!$D$2:$D$48,"Reach")/SUMIFS('Data BEFORE'!$G$2:$G$48,'Data BEFORE'!$E$2:$E$48,$A9,'Data BEFORE'!$D$2:$D$48,"Reach")</f>
        <v>1.57163465423906</v>
      </c>
      <c r="R9" s="17" t="n">
        <f aca="false">SUMIFS('Data AFTER'!$H$2:$H$52,'Data AFTER'!$E$2:$E$52,$A9,'Data AFTER'!$D$2:$D$52,"Reach")/SUMIFS('Data AFTER'!$G$2:$G$52,'Data AFTER'!$E$2:$E$52,$A9,'Data AFTER'!$D$2:$D$52,"Reach")</f>
        <v>2.2455060900132</v>
      </c>
    </row>
    <row r="10" customFormat="false" ht="15" hidden="false" customHeight="false" outlineLevel="0" collapsed="false">
      <c r="A10" s="3" t="s">
        <v>93</v>
      </c>
      <c r="B10" s="15" t="n">
        <f aca="false">COUNTIFS('Data BEFORE'!$E$2:$E$48,$A10,'Data BEFORE'!$D$2:$D$48,"Reach")</f>
        <v>2</v>
      </c>
      <c r="C10" s="15" t="n">
        <f aca="false">COUNTIFS('Data AFTER'!$E$2:$E$52,$A10,'Data AFTER'!$D$2:$D$52,"Reach")</f>
        <v>2</v>
      </c>
      <c r="D10" s="22" t="n">
        <f aca="false">SUMIFS('Data BEFORE'!$F$2:$F$48,'Data BEFORE'!$E$2:$E$48,$A10,'Data BEFORE'!$D$2:$D$48,"Reach")</f>
        <v>682.35</v>
      </c>
      <c r="E10" s="22" t="n">
        <f aca="false">SUMIFS('Data AFTER'!$F$2:$F$52,'Data AFTER'!$E$2:$E$52,$A10,'Data AFTER'!$D$2:$D$52,"Reach")</f>
        <v>2730.67</v>
      </c>
      <c r="F10" s="18" t="n">
        <f aca="false">D10/SUMIFS('Data BEFORE'!$G$2:$G$48,'Data BEFORE'!$E$2:$E$48,$A10,'Data BEFORE'!$D$2:$D$48,"Reach")*1000</f>
        <v>0.248360460621573</v>
      </c>
      <c r="G10" s="18" t="n">
        <f aca="false">E10/SUMIFS('Data AFTER'!$G$2:$G$52,'Data AFTER'!$E$2:$E$52,$A10,'Data AFTER'!$D$2:$D$52,"Reach")*1000</f>
        <v>0.630323687592203</v>
      </c>
      <c r="H10" s="16" t="n">
        <f aca="false">(G10-F10)/F10</f>
        <v>1.53793895378793</v>
      </c>
      <c r="I10" s="18" t="n">
        <f aca="false">D10/SUMIFS('Data BEFORE'!$H$2:$H$48,'Data BEFORE'!$E$2:$E$48,$A10,'Data BEFORE'!$D$2:$D$48,"Reach")*1000</f>
        <v>0.219947729575983</v>
      </c>
      <c r="J10" s="18" t="n">
        <f aca="false">E10/SUMIFS('Data AFTER'!$H$2:$H$52,'Data AFTER'!$E$2:$E$52,$A10,'Data AFTER'!$D$2:$D$52,"Reach")*1000</f>
        <v>0.234071967784513</v>
      </c>
      <c r="K10" s="23" t="n">
        <f aca="false">SUMIFS('Data BEFORE'!$I$2:$I$48,'Data BEFORE'!$E$2:$E$48,$A10,'Data BEFORE'!$D$2:$D$48,"Reach")/SUMIFS('Data BEFORE'!$H$2:$H$48,'Data BEFORE'!$E$2:$E$48,$A10,'Data BEFORE'!$D$2:$D$48,"Reach")</f>
        <v>0.00245202957263062</v>
      </c>
      <c r="L10" s="23" t="n">
        <f aca="false">SUMIFS('Data AFTER'!$I$2:$I$52,'Data AFTER'!$E$2:$E$52,$A10,'Data AFTER'!$D$2:$D$52,"Reach")/SUMIFS('Data AFTER'!$H$2:$H$52,'Data AFTER'!$E$2:$E$52,$A10,'Data AFTER'!$D$2:$D$52,"Reach")</f>
        <v>0.00232265855599145</v>
      </c>
      <c r="M10" s="16" t="n">
        <f aca="false">(L10-K10)/K10</f>
        <v>-0.0527607897079214</v>
      </c>
      <c r="N10" s="16" t="n">
        <f aca="false">SUMIFS('Data BEFORE'!$J$2:$J$48,'Data BEFORE'!$E$2:$E$48,$A10,'Data BEFORE'!$D$2:$D$48,"Reach")/SUMIFS('Data BEFORE'!$H$2:$H$48,'Data BEFORE'!$E$2:$E$48,$A10,'Data BEFORE'!$D$2:$D$48,"Reach")</f>
        <v>0.316480075607737</v>
      </c>
      <c r="O10" s="16" t="n">
        <f aca="false">SUMIFS('Data AFTER'!$J$2:$J$52,'Data AFTER'!$E$2:$E$52,$A10,'Data AFTER'!$D$2:$D$52,"Reach")/SUMIFS('Data AFTER'!$H$2:$H$52,'Data AFTER'!$E$2:$E$52,$A10,'Data AFTER'!$D$2:$D$52,"Reach")</f>
        <v>0.0691592672070545</v>
      </c>
      <c r="P10" s="16" t="n">
        <f aca="false">(O10-N10)/N10</f>
        <v>-0.781473550667454</v>
      </c>
      <c r="Q10" s="17" t="n">
        <f aca="false">SUMIFS('Data BEFORE'!$H$2:$H$48,'Data BEFORE'!$E$2:$E$48,$A10,'Data BEFORE'!$D$2:$D$48,"Reach")/SUMIFS('Data BEFORE'!$G$2:$G$48,'Data BEFORE'!$E$2:$E$48,$A10,'Data BEFORE'!$D$2:$D$48,"Reach")</f>
        <v>1.12917946959655</v>
      </c>
      <c r="R10" s="17" t="n">
        <f aca="false">SUMIFS('Data AFTER'!$H$2:$H$52,'Data AFTER'!$E$2:$E$52,$A10,'Data AFTER'!$D$2:$D$52,"Reach")/SUMIFS('Data AFTER'!$G$2:$G$52,'Data AFTER'!$E$2:$E$52,$A10,'Data AFTER'!$D$2:$D$52,"Reach")</f>
        <v>2.69286277019074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16" min="4" style="0" width="13"/>
  </cols>
  <sheetData>
    <row r="1" customFormat="false" ht="17.35" hidden="false" customHeight="false" outlineLevel="0" collapsed="false">
      <c r="A1" s="1" t="s">
        <v>94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5" t="s">
        <v>96</v>
      </c>
      <c r="B4" s="5" t="s">
        <v>10</v>
      </c>
      <c r="C4" s="5" t="s">
        <v>97</v>
      </c>
      <c r="D4" s="5" t="s">
        <v>55</v>
      </c>
      <c r="E4" s="5" t="s">
        <v>56</v>
      </c>
      <c r="F4" s="5" t="s">
        <v>57</v>
      </c>
      <c r="G4" s="5" t="s">
        <v>35</v>
      </c>
      <c r="H4" s="5" t="s">
        <v>58</v>
      </c>
      <c r="I4" s="5" t="s">
        <v>59</v>
      </c>
      <c r="J4" s="5" t="s">
        <v>98</v>
      </c>
      <c r="K4" s="5" t="s">
        <v>39</v>
      </c>
      <c r="L4" s="5" t="s">
        <v>41</v>
      </c>
      <c r="M4" s="5" t="s">
        <v>42</v>
      </c>
      <c r="N4" s="5" t="s">
        <v>44</v>
      </c>
      <c r="O4" s="5" t="s">
        <v>60</v>
      </c>
      <c r="P4" s="5" t="s">
        <v>61</v>
      </c>
    </row>
    <row r="5" customFormat="false" ht="15" hidden="false" customHeight="false" outlineLevel="0" collapsed="false">
      <c r="A5" s="3" t="s">
        <v>99</v>
      </c>
      <c r="B5" s="13" t="s">
        <v>62</v>
      </c>
      <c r="C5" s="15" t="n">
        <f aca="false">COUNTIFS('Data BEFORE'!$A$2:$A$48,$A5)</f>
        <v>24</v>
      </c>
      <c r="D5" s="22" t="n">
        <f aca="false">SUMIFS('Data BEFORE'!$F$2:$F$48,'Data BEFORE'!$A$2:$A$48,$A5)</f>
        <v>10996.83</v>
      </c>
      <c r="E5" s="16" t="n">
        <f aca="false">D5/SUM('Data BEFORE'!$F$2:$F$48)</f>
        <v>0.403466186574718</v>
      </c>
      <c r="F5" s="14" t="n">
        <f aca="false">SUMIFS('Data BEFORE'!$G$2:$G$48,'Data BEFORE'!$A$2:$A$48,$A5)</f>
        <v>29728200</v>
      </c>
      <c r="G5" s="14" t="n">
        <f aca="false">SUMIFS('Data BEFORE'!$H$2:$H$48,'Data BEFORE'!$A$2:$A$48,$A5)</f>
        <v>39701659</v>
      </c>
      <c r="H5" s="14" t="n">
        <f aca="false">SUMIFS('Data BEFORE'!$I$2:$I$48,'Data BEFORE'!$A$2:$A$48,$A5)</f>
        <v>90529</v>
      </c>
      <c r="I5" s="14" t="n">
        <f aca="false">SUMIFS('Data BEFORE'!$J$2:$J$48,'Data BEFORE'!$A$2:$A$48,$A5)</f>
        <v>9127912</v>
      </c>
      <c r="J5" s="17" t="n">
        <f aca="false">IFERROR(G5/F5,"")</f>
        <v>1.33548815602694</v>
      </c>
      <c r="K5" s="18" t="n">
        <f aca="false">IFERROR(D5/G5*1000,"")</f>
        <v>0.276986661942767</v>
      </c>
      <c r="L5" s="23" t="n">
        <f aca="false">IFERROR(H5/G5,"")</f>
        <v>0.00228023216863557</v>
      </c>
      <c r="M5" s="18" t="n">
        <f aca="false">IF(H5&gt;0,D5/H5,"")</f>
        <v>0.121473008649162</v>
      </c>
      <c r="N5" s="16" t="n">
        <f aca="false">IFERROR(I5/G5,"")</f>
        <v>0.229912608941606</v>
      </c>
      <c r="O5" s="21" t="n">
        <f aca="false">IFERROR(D5/I5*1000,"")</f>
        <v>1.20474759178222</v>
      </c>
      <c r="P5" s="21" t="n">
        <f aca="false">IFERROR(D5/F5*1000,"")</f>
        <v>0.369912406402002</v>
      </c>
    </row>
    <row r="6" customFormat="false" ht="15" hidden="false" customHeight="false" outlineLevel="0" collapsed="false">
      <c r="A6" s="3" t="s">
        <v>100</v>
      </c>
      <c r="B6" s="13" t="s">
        <v>62</v>
      </c>
      <c r="C6" s="15" t="n">
        <f aca="false">COUNTIFS('Data BEFORE'!$A$2:$A$48,$A6)</f>
        <v>9</v>
      </c>
      <c r="D6" s="32" t="n">
        <f aca="false">SUMIFS('Data BEFORE'!$F$2:$F$48,'Data BEFORE'!$A$2:$A$48,$A6)</f>
        <v>7000</v>
      </c>
      <c r="E6" s="33" t="n">
        <f aca="false">D6/SUM('Data BEFORE'!$F$2:$F$48)</f>
        <v>0.256825221997887</v>
      </c>
      <c r="F6" s="34" t="n">
        <f aca="false">SUMIFS('Data BEFORE'!$G$2:$G$48,'Data BEFORE'!$A$2:$A$48,$A6)</f>
        <v>14965894</v>
      </c>
      <c r="G6" s="34" t="n">
        <f aca="false">SUMIFS('Data BEFORE'!$H$2:$H$48,'Data BEFORE'!$A$2:$A$48,$A6)</f>
        <v>26217754</v>
      </c>
      <c r="H6" s="34" t="n">
        <f aca="false">SUMIFS('Data BEFORE'!$I$2:$I$48,'Data BEFORE'!$A$2:$A$48,$A6)</f>
        <v>74336</v>
      </c>
      <c r="I6" s="34" t="n">
        <f aca="false">SUMIFS('Data BEFORE'!$J$2:$J$48,'Data BEFORE'!$A$2:$A$48,$A6)</f>
        <v>7168839</v>
      </c>
      <c r="J6" s="35" t="n">
        <f aca="false">IFERROR(G6/F6,"")</f>
        <v>1.75183346881917</v>
      </c>
      <c r="K6" s="36" t="n">
        <f aca="false">IFERROR(D6/G6*1000,"")</f>
        <v>0.266994647977855</v>
      </c>
      <c r="L6" s="37" t="n">
        <f aca="false">IFERROR(H6/G6,"")</f>
        <v>0.00283533059315455</v>
      </c>
      <c r="M6" s="36" t="n">
        <f aca="false">IF(H6&gt;0,D6/H6,"")</f>
        <v>0.094167025398192</v>
      </c>
      <c r="N6" s="33" t="n">
        <f aca="false">IFERROR(I6/G6,"")</f>
        <v>0.273434520744988</v>
      </c>
      <c r="O6" s="38" t="n">
        <f aca="false">IFERROR(D6/I6*1000,"")</f>
        <v>0.976448208698787</v>
      </c>
      <c r="P6" s="38" t="n">
        <f aca="false">IFERROR(D6/F6*1000,"")</f>
        <v>0.467730160323199</v>
      </c>
    </row>
    <row r="7" customFormat="false" ht="15" hidden="false" customHeight="false" outlineLevel="0" collapsed="false">
      <c r="A7" s="3" t="s">
        <v>101</v>
      </c>
      <c r="B7" s="13" t="s">
        <v>62</v>
      </c>
      <c r="C7" s="15" t="n">
        <f aca="false">COUNTIFS('Data BEFORE'!$A$2:$A$48,$A7)</f>
        <v>8</v>
      </c>
      <c r="D7" s="22" t="n">
        <f aca="false">SUMIFS('Data BEFORE'!$F$2:$F$48,'Data BEFORE'!$A$2:$A$48,$A7)</f>
        <v>7000</v>
      </c>
      <c r="E7" s="16" t="n">
        <f aca="false">D7/SUM('Data BEFORE'!$F$2:$F$48)</f>
        <v>0.256825221997887</v>
      </c>
      <c r="F7" s="14" t="n">
        <f aca="false">SUMIFS('Data BEFORE'!$G$2:$G$48,'Data BEFORE'!$A$2:$A$48,$A7)</f>
        <v>19665770</v>
      </c>
      <c r="G7" s="14" t="n">
        <f aca="false">SUMIFS('Data BEFORE'!$H$2:$H$48,'Data BEFORE'!$A$2:$A$48,$A7)</f>
        <v>35530416</v>
      </c>
      <c r="H7" s="14" t="n">
        <f aca="false">SUMIFS('Data BEFORE'!$I$2:$I$48,'Data BEFORE'!$A$2:$A$48,$A7)</f>
        <v>81684</v>
      </c>
      <c r="I7" s="14" t="n">
        <f aca="false">SUMIFS('Data BEFORE'!$J$2:$J$48,'Data BEFORE'!$A$2:$A$48,$A7)</f>
        <v>6938421</v>
      </c>
      <c r="J7" s="17" t="n">
        <f aca="false">IFERROR(G7/F7,"")</f>
        <v>1.80671369592953</v>
      </c>
      <c r="K7" s="18" t="n">
        <f aca="false">IFERROR(D7/G7*1000,"")</f>
        <v>0.19701429896008</v>
      </c>
      <c r="L7" s="23" t="n">
        <f aca="false">IFERROR(H7/G7,"")</f>
        <v>0.00229898799946502</v>
      </c>
      <c r="M7" s="18" t="n">
        <f aca="false">IF(H7&gt;0,D7/H7,"")</f>
        <v>0.0856960971548896</v>
      </c>
      <c r="N7" s="16" t="n">
        <f aca="false">IFERROR(I7/G7,"")</f>
        <v>0.195281164172128</v>
      </c>
      <c r="O7" s="21" t="n">
        <f aca="false">IFERROR(D7/I7*1000,"")</f>
        <v>1.00887507402621</v>
      </c>
      <c r="P7" s="21" t="n">
        <f aca="false">IFERROR(D7/F7*1000,"")</f>
        <v>0.35594843222513</v>
      </c>
    </row>
    <row r="8" customFormat="false" ht="15" hidden="false" customHeight="false" outlineLevel="0" collapsed="false">
      <c r="A8" s="3" t="s">
        <v>102</v>
      </c>
      <c r="B8" s="13" t="s">
        <v>66</v>
      </c>
      <c r="C8" s="15" t="n">
        <f aca="false">COUNTIFS('Data BEFORE'!$A$2:$A$48,$A8)</f>
        <v>2</v>
      </c>
      <c r="D8" s="32" t="n">
        <f aca="false">SUMIFS('Data BEFORE'!$F$2:$F$48,'Data BEFORE'!$A$2:$A$48,$A8)</f>
        <v>1414.83</v>
      </c>
      <c r="E8" s="33" t="n">
        <f aca="false">D8/SUM('Data BEFORE'!$F$2:$F$48)</f>
        <v>0.0519091469770387</v>
      </c>
      <c r="F8" s="34" t="n">
        <f aca="false">SUMIFS('Data BEFORE'!$G$2:$G$48,'Data BEFORE'!$A$2:$A$48,$A8)</f>
        <v>1011718</v>
      </c>
      <c r="G8" s="34" t="n">
        <f aca="false">SUMIFS('Data BEFORE'!$H$2:$H$48,'Data BEFORE'!$A$2:$A$48,$A8)</f>
        <v>2906700</v>
      </c>
      <c r="H8" s="34" t="n">
        <f aca="false">SUMIFS('Data BEFORE'!$I$2:$I$48,'Data BEFORE'!$A$2:$A$48,$A8)</f>
        <v>0</v>
      </c>
      <c r="I8" s="34" t="n">
        <f aca="false">SUMIFS('Data BEFORE'!$J$2:$J$48,'Data BEFORE'!$A$2:$A$48,$A8)</f>
        <v>560362</v>
      </c>
      <c r="J8" s="35" t="n">
        <f aca="false">IFERROR(G8/F8,"")</f>
        <v>2.87303379004822</v>
      </c>
      <c r="K8" s="36" t="n">
        <f aca="false">IFERROR(D8/G8*1000,"")</f>
        <v>0.486747858396119</v>
      </c>
      <c r="L8" s="37" t="n">
        <f aca="false">IFERROR(H8/G8,"")</f>
        <v>0</v>
      </c>
      <c r="M8" s="36" t="str">
        <f aca="false">IF(H8&gt;0,D8/H8,"")</f>
        <v/>
      </c>
      <c r="N8" s="33" t="n">
        <f aca="false">IFERROR(I8/G8,"")</f>
        <v>0.192782880930265</v>
      </c>
      <c r="O8" s="38" t="n">
        <f aca="false">IFERROR(D8/I8*1000,"")</f>
        <v>2.52485000767361</v>
      </c>
      <c r="P8" s="38" t="n">
        <f aca="false">IFERROR(D8/F8*1000,"")</f>
        <v>1.39844304440565</v>
      </c>
    </row>
    <row r="9" customFormat="false" ht="15" hidden="false" customHeight="false" outlineLevel="0" collapsed="false">
      <c r="A9" s="3" t="s">
        <v>103</v>
      </c>
      <c r="B9" s="13" t="s">
        <v>66</v>
      </c>
      <c r="C9" s="15" t="n">
        <f aca="false">COUNTIFS('Data BEFORE'!$A$2:$A$48,$A9)</f>
        <v>3</v>
      </c>
      <c r="D9" s="22" t="n">
        <f aca="false">SUMIFS('Data BEFORE'!$F$2:$F$48,'Data BEFORE'!$A$2:$A$48,$A9)</f>
        <v>576.67</v>
      </c>
      <c r="E9" s="16" t="n">
        <f aca="false">D9/SUM('Data BEFORE'!$F$2:$F$48)</f>
        <v>0.0211576286813603</v>
      </c>
      <c r="F9" s="14" t="n">
        <f aca="false">SUMIFS('Data BEFORE'!$G$2:$G$48,'Data BEFORE'!$A$2:$A$48,$A9)</f>
        <v>457234</v>
      </c>
      <c r="G9" s="14" t="n">
        <f aca="false">SUMIFS('Data BEFORE'!$H$2:$H$48,'Data BEFORE'!$A$2:$A$48,$A9)</f>
        <v>741947</v>
      </c>
      <c r="H9" s="14" t="n">
        <f aca="false">SUMIFS('Data BEFORE'!$I$2:$I$48,'Data BEFORE'!$A$2:$A$48,$A9)</f>
        <v>0</v>
      </c>
      <c r="I9" s="14" t="n">
        <f aca="false">SUMIFS('Data BEFORE'!$J$2:$J$48,'Data BEFORE'!$A$2:$A$48,$A9)</f>
        <v>281859</v>
      </c>
      <c r="J9" s="17" t="n">
        <f aca="false">IFERROR(G9/F9,"")</f>
        <v>1.62268553957055</v>
      </c>
      <c r="K9" s="18" t="n">
        <f aca="false">IFERROR(D9/G9*1000,"")</f>
        <v>0.777238805467237</v>
      </c>
      <c r="L9" s="23" t="n">
        <f aca="false">IFERROR(H9/G9,"")</f>
        <v>0</v>
      </c>
      <c r="M9" s="18" t="str">
        <f aca="false">IF(H9&gt;0,D9/H9,"")</f>
        <v/>
      </c>
      <c r="N9" s="16" t="n">
        <f aca="false">IFERROR(I9/G9,"")</f>
        <v>0.379891016474223</v>
      </c>
      <c r="O9" s="21" t="n">
        <f aca="false">IFERROR(D9/I9*1000,"")</f>
        <v>2.04595205404121</v>
      </c>
      <c r="P9" s="21" t="n">
        <f aca="false">IFERROR(D9/F9*1000,"")</f>
        <v>1.26121417042477</v>
      </c>
    </row>
    <row r="10" customFormat="false" ht="15" hidden="false" customHeight="false" outlineLevel="0" collapsed="false">
      <c r="A10" s="3" t="s">
        <v>104</v>
      </c>
      <c r="B10" s="13" t="s">
        <v>66</v>
      </c>
      <c r="C10" s="15" t="n">
        <f aca="false">COUNTIFS('Data BEFORE'!$A$2:$A$48,$A10)</f>
        <v>1</v>
      </c>
      <c r="D10" s="32" t="n">
        <f aca="false">SUMIFS('Data BEFORE'!$F$2:$F$48,'Data BEFORE'!$A$2:$A$48,$A10)</f>
        <v>267.56</v>
      </c>
      <c r="E10" s="33" t="n">
        <f aca="false">D10/SUM('Data BEFORE'!$F$2:$F$48)</f>
        <v>0.00981659377110782</v>
      </c>
      <c r="F10" s="34" t="n">
        <f aca="false">SUMIFS('Data BEFORE'!$G$2:$G$48,'Data BEFORE'!$A$2:$A$48,$A10)</f>
        <v>146099</v>
      </c>
      <c r="G10" s="34" t="n">
        <f aca="false">SUMIFS('Data BEFORE'!$H$2:$H$48,'Data BEFORE'!$A$2:$A$48,$A10)</f>
        <v>258263</v>
      </c>
      <c r="H10" s="34" t="n">
        <f aca="false">SUMIFS('Data BEFORE'!$I$2:$I$48,'Data BEFORE'!$A$2:$A$48,$A10)</f>
        <v>0</v>
      </c>
      <c r="I10" s="34" t="n">
        <f aca="false">SUMIFS('Data BEFORE'!$J$2:$J$48,'Data BEFORE'!$A$2:$A$48,$A10)</f>
        <v>66068</v>
      </c>
      <c r="J10" s="35" t="n">
        <f aca="false">IFERROR(G10/F10,"")</f>
        <v>1.76772599401776</v>
      </c>
      <c r="K10" s="36" t="n">
        <f aca="false">IFERROR(D10/G10*1000,"")</f>
        <v>1.03599818789374</v>
      </c>
      <c r="L10" s="37" t="n">
        <f aca="false">IFERROR(H10/G10,"")</f>
        <v>0</v>
      </c>
      <c r="M10" s="36" t="str">
        <f aca="false">IF(H10&gt;0,D10/H10,"")</f>
        <v/>
      </c>
      <c r="N10" s="33" t="n">
        <f aca="false">IFERROR(I10/G10,"")</f>
        <v>0.255816744946043</v>
      </c>
      <c r="O10" s="38" t="n">
        <f aca="false">IFERROR(D10/I10*1000,"")</f>
        <v>4.04976690682327</v>
      </c>
      <c r="P10" s="38" t="n">
        <f aca="false">IFERROR(D10/F10*1000,"")</f>
        <v>1.83136092649505</v>
      </c>
    </row>
    <row r="11" customFormat="false" ht="15" hidden="false" customHeight="false" outlineLevel="0" collapsed="false">
      <c r="A11" s="3" t="s">
        <v>105</v>
      </c>
      <c r="C11" s="39" t="n">
        <f aca="false">SUM(C5:C10)</f>
        <v>47</v>
      </c>
      <c r="D11" s="40" t="n">
        <f aca="false">SUM(D5:D10)</f>
        <v>27255.89</v>
      </c>
      <c r="F11" s="39" t="n">
        <f aca="false">SUM(F5:F10)</f>
        <v>65974915</v>
      </c>
      <c r="G11" s="39" t="n">
        <f aca="false">SUM(G5:G10)</f>
        <v>105356739</v>
      </c>
      <c r="H11" s="39" t="n">
        <f aca="false">SUM(H5:H10)</f>
        <v>246549</v>
      </c>
      <c r="I11" s="39" t="n">
        <f aca="false">SUM(I5:I10)</f>
        <v>24143461</v>
      </c>
    </row>
  </sheetData>
  <autoFilter ref="A4:P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16" min="4" style="0" width="13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95</v>
      </c>
    </row>
    <row r="4" customFormat="false" ht="31.5" hidden="false" customHeight="true" outlineLevel="0" collapsed="false">
      <c r="A4" s="5" t="s">
        <v>96</v>
      </c>
      <c r="B4" s="5" t="s">
        <v>10</v>
      </c>
      <c r="C4" s="5" t="s">
        <v>97</v>
      </c>
      <c r="D4" s="5" t="s">
        <v>55</v>
      </c>
      <c r="E4" s="5" t="s">
        <v>56</v>
      </c>
      <c r="F4" s="5" t="s">
        <v>57</v>
      </c>
      <c r="G4" s="5" t="s">
        <v>35</v>
      </c>
      <c r="H4" s="5" t="s">
        <v>58</v>
      </c>
      <c r="I4" s="5" t="s">
        <v>59</v>
      </c>
      <c r="J4" s="5" t="s">
        <v>98</v>
      </c>
      <c r="K4" s="5" t="s">
        <v>39</v>
      </c>
      <c r="L4" s="5" t="s">
        <v>41</v>
      </c>
      <c r="M4" s="5" t="s">
        <v>42</v>
      </c>
      <c r="N4" s="5" t="s">
        <v>44</v>
      </c>
      <c r="O4" s="5" t="s">
        <v>60</v>
      </c>
      <c r="P4" s="5" t="s">
        <v>61</v>
      </c>
    </row>
    <row r="5" customFormat="false" ht="15" hidden="false" customHeight="false" outlineLevel="0" collapsed="false">
      <c r="A5" s="3" t="s">
        <v>107</v>
      </c>
      <c r="B5" s="13" t="s">
        <v>62</v>
      </c>
      <c r="C5" s="15" t="n">
        <f aca="false">COUNTIFS('Data AFTER'!$A$2:$A$52,$A5)</f>
        <v>1</v>
      </c>
      <c r="D5" s="22" t="n">
        <f aca="false">SUMIFS('Data AFTER'!$F$2:$F$52,'Data AFTER'!$A$2:$A$52,$A5)</f>
        <v>3594.01</v>
      </c>
      <c r="E5" s="16" t="n">
        <f aca="false">D5/SUM('Data AFTER'!$F$2:$F$52)</f>
        <v>0.146300051860253</v>
      </c>
      <c r="F5" s="14" t="n">
        <f aca="false">SUMIFS('Data AFTER'!$G$2:$G$52,'Data AFTER'!$A$2:$A$52,$A5)</f>
        <v>3359491</v>
      </c>
      <c r="G5" s="14" t="n">
        <f aca="false">SUMIFS('Data AFTER'!$H$2:$H$52,'Data AFTER'!$A$2:$A$52,$A5)</f>
        <v>11212822</v>
      </c>
      <c r="H5" s="14" t="n">
        <f aca="false">SUMIFS('Data AFTER'!$I$2:$I$52,'Data AFTER'!$A$2:$A$52,$A5)</f>
        <v>26184</v>
      </c>
      <c r="I5" s="14" t="n">
        <f aca="false">SUMIFS('Data AFTER'!$J$2:$J$52,'Data AFTER'!$A$2:$A$52,$A5)</f>
        <v>799143</v>
      </c>
      <c r="J5" s="17" t="n">
        <f aca="false">IFERROR(G5/F5,"")</f>
        <v>3.33765501976341</v>
      </c>
      <c r="K5" s="18" t="n">
        <f aca="false">IFERROR(D5/G5*1000,"")</f>
        <v>0.320526804046296</v>
      </c>
      <c r="L5" s="23" t="n">
        <f aca="false">IFERROR(H5/G5,"")</f>
        <v>0.00233518377443252</v>
      </c>
      <c r="M5" s="18" t="n">
        <f aca="false">IF(H5&gt;0,D5/H5,"")</f>
        <v>0.137259776963031</v>
      </c>
      <c r="N5" s="16" t="n">
        <f aca="false">IFERROR(I5/G5,"")</f>
        <v>0.0712704616197421</v>
      </c>
      <c r="O5" s="21" t="n">
        <f aca="false">IFERROR(D5/I5*1000,"")</f>
        <v>4.49733026504643</v>
      </c>
      <c r="P5" s="21" t="n">
        <f aca="false">IFERROR(D5/F5*1000,"")</f>
        <v>1.06980789649384</v>
      </c>
    </row>
    <row r="6" customFormat="false" ht="15" hidden="false" customHeight="false" outlineLevel="0" collapsed="false">
      <c r="A6" s="3" t="s">
        <v>108</v>
      </c>
      <c r="B6" s="13" t="s">
        <v>62</v>
      </c>
      <c r="C6" s="15" t="n">
        <f aca="false">COUNTIFS('Data AFTER'!$A$2:$A$52,$A6)</f>
        <v>7</v>
      </c>
      <c r="D6" s="32" t="n">
        <f aca="false">SUMIFS('Data AFTER'!$F$2:$F$52,'Data AFTER'!$A$2:$A$52,$A6)</f>
        <v>3310</v>
      </c>
      <c r="E6" s="33" t="n">
        <f aca="false">D6/SUM('Data AFTER'!$F$2:$F$52)</f>
        <v>0.134738960564227</v>
      </c>
      <c r="F6" s="34" t="n">
        <f aca="false">SUMIFS('Data AFTER'!$G$2:$G$52,'Data AFTER'!$A$2:$A$52,$A6)</f>
        <v>9798312</v>
      </c>
      <c r="G6" s="34" t="n">
        <f aca="false">SUMIFS('Data AFTER'!$H$2:$H$52,'Data AFTER'!$A$2:$A$52,$A6)</f>
        <v>11467978</v>
      </c>
      <c r="H6" s="34" t="n">
        <f aca="false">SUMIFS('Data AFTER'!$I$2:$I$52,'Data AFTER'!$A$2:$A$52,$A6)</f>
        <v>26000</v>
      </c>
      <c r="I6" s="34" t="n">
        <f aca="false">SUMIFS('Data AFTER'!$J$2:$J$52,'Data AFTER'!$A$2:$A$52,$A6)</f>
        <v>3081511</v>
      </c>
      <c r="J6" s="35" t="n">
        <f aca="false">IFERROR(G6/F6,"")</f>
        <v>1.17040343275454</v>
      </c>
      <c r="K6" s="36" t="n">
        <f aca="false">IFERROR(D6/G6*1000,"")</f>
        <v>0.28862978286146</v>
      </c>
      <c r="L6" s="37" t="n">
        <f aca="false">IFERROR(H6/G6,"")</f>
        <v>0.00226718258441026</v>
      </c>
      <c r="M6" s="36" t="n">
        <f aca="false">IF(H6&gt;0,D6/H6,"")</f>
        <v>0.127307692307692</v>
      </c>
      <c r="N6" s="33" t="n">
        <f aca="false">IFERROR(I6/G6,"")</f>
        <v>0.268705695110332</v>
      </c>
      <c r="O6" s="38" t="n">
        <f aca="false">IFERROR(D6/I6*1000,"")</f>
        <v>1.07414836422781</v>
      </c>
      <c r="P6" s="38" t="n">
        <f aca="false">IFERROR(D6/F6*1000,"")</f>
        <v>0.33781328865625</v>
      </c>
    </row>
    <row r="7" customFormat="false" ht="15" hidden="false" customHeight="false" outlineLevel="0" collapsed="false">
      <c r="A7" s="3" t="s">
        <v>109</v>
      </c>
      <c r="B7" s="13" t="s">
        <v>62</v>
      </c>
      <c r="C7" s="15" t="n">
        <f aca="false">COUNTIFS('Data AFTER'!$A$2:$A$52,$A7)</f>
        <v>2</v>
      </c>
      <c r="D7" s="22" t="n">
        <f aca="false">SUMIFS('Data AFTER'!$F$2:$F$52,'Data AFTER'!$A$2:$A$52,$A7)</f>
        <v>2730.67</v>
      </c>
      <c r="E7" s="16" t="n">
        <f aca="false">D7/SUM('Data AFTER'!$F$2:$F$52)</f>
        <v>0.111156385934718</v>
      </c>
      <c r="F7" s="14" t="n">
        <f aca="false">SUMIFS('Data AFTER'!$G$2:$G$52,'Data AFTER'!$A$2:$A$52,$A7)</f>
        <v>4332171</v>
      </c>
      <c r="G7" s="14" t="n">
        <f aca="false">SUMIFS('Data AFTER'!$H$2:$H$52,'Data AFTER'!$A$2:$A$52,$A7)</f>
        <v>11665942</v>
      </c>
      <c r="H7" s="14" t="n">
        <f aca="false">SUMIFS('Data AFTER'!$I$2:$I$52,'Data AFTER'!$A$2:$A$52,$A7)</f>
        <v>27096</v>
      </c>
      <c r="I7" s="14" t="n">
        <f aca="false">SUMIFS('Data AFTER'!$J$2:$J$52,'Data AFTER'!$A$2:$A$52,$A7)</f>
        <v>806808</v>
      </c>
      <c r="J7" s="17" t="n">
        <f aca="false">IFERROR(G7/F7,"")</f>
        <v>2.69286277019074</v>
      </c>
      <c r="K7" s="18" t="n">
        <f aca="false">IFERROR(D7/G7*1000,"")</f>
        <v>0.234071967784513</v>
      </c>
      <c r="L7" s="23" t="n">
        <f aca="false">IFERROR(H7/G7,"")</f>
        <v>0.00232265855599145</v>
      </c>
      <c r="M7" s="18" t="n">
        <f aca="false">IF(H7&gt;0,D7/H7,"")</f>
        <v>0.100777605550635</v>
      </c>
      <c r="N7" s="16" t="n">
        <f aca="false">IFERROR(I7/G7,"")</f>
        <v>0.0691592672070545</v>
      </c>
      <c r="O7" s="21" t="n">
        <f aca="false">IFERROR(D7/I7*1000,"")</f>
        <v>3.38453510624585</v>
      </c>
      <c r="P7" s="21" t="n">
        <f aca="false">IFERROR(D7/F7*1000,"")</f>
        <v>0.630323687592203</v>
      </c>
    </row>
    <row r="8" customFormat="false" ht="15" hidden="false" customHeight="false" outlineLevel="0" collapsed="false">
      <c r="A8" s="3" t="s">
        <v>110</v>
      </c>
      <c r="B8" s="13" t="s">
        <v>62</v>
      </c>
      <c r="C8" s="15" t="n">
        <f aca="false">COUNTIFS('Data AFTER'!$A$2:$A$52,$A8)</f>
        <v>6</v>
      </c>
      <c r="D8" s="32" t="n">
        <f aca="false">SUMIFS('Data AFTER'!$F$2:$F$52,'Data AFTER'!$A$2:$A$52,$A8)</f>
        <v>2339</v>
      </c>
      <c r="E8" s="33" t="n">
        <f aca="false">D8/SUM('Data AFTER'!$F$2:$F$52)</f>
        <v>0.0952128183564126</v>
      </c>
      <c r="F8" s="34" t="n">
        <f aca="false">SUMIFS('Data AFTER'!$G$2:$G$52,'Data AFTER'!$A$2:$A$52,$A8)</f>
        <v>8477218</v>
      </c>
      <c r="G8" s="34" t="n">
        <f aca="false">SUMIFS('Data AFTER'!$H$2:$H$52,'Data AFTER'!$A$2:$A$52,$A8)</f>
        <v>9454513</v>
      </c>
      <c r="H8" s="34" t="n">
        <f aca="false">SUMIFS('Data AFTER'!$I$2:$I$52,'Data AFTER'!$A$2:$A$52,$A8)</f>
        <v>23069</v>
      </c>
      <c r="I8" s="34" t="n">
        <f aca="false">SUMIFS('Data AFTER'!$J$2:$J$52,'Data AFTER'!$A$2:$A$52,$A8)</f>
        <v>1384300</v>
      </c>
      <c r="J8" s="35" t="n">
        <f aca="false">IFERROR(G8/F8,"")</f>
        <v>1.11528487293827</v>
      </c>
      <c r="K8" s="36" t="n">
        <f aca="false">IFERROR(D8/G8*1000,"")</f>
        <v>0.247395080000419</v>
      </c>
      <c r="L8" s="37" t="n">
        <f aca="false">IFERROR(H8/G8,"")</f>
        <v>0.00243999876038036</v>
      </c>
      <c r="M8" s="36" t="n">
        <f aca="false">IF(H8&gt;0,D8/H8,"")</f>
        <v>0.101391477740691</v>
      </c>
      <c r="N8" s="33" t="n">
        <f aca="false">IFERROR(I8/G8,"")</f>
        <v>0.146416848757837</v>
      </c>
      <c r="O8" s="38" t="n">
        <f aca="false">IFERROR(D8/I8*1000,"")</f>
        <v>1.68966264538034</v>
      </c>
      <c r="P8" s="38" t="n">
        <f aca="false">IFERROR(D8/F8*1000,"")</f>
        <v>0.27591599036382</v>
      </c>
    </row>
    <row r="9" customFormat="false" ht="15" hidden="false" customHeight="false" outlineLevel="0" collapsed="false">
      <c r="A9" s="3" t="s">
        <v>111</v>
      </c>
      <c r="B9" s="13" t="s">
        <v>62</v>
      </c>
      <c r="C9" s="15" t="n">
        <f aca="false">COUNTIFS('Data AFTER'!$A$2:$A$52,$A9)</f>
        <v>3</v>
      </c>
      <c r="D9" s="22" t="n">
        <f aca="false">SUMIFS('Data AFTER'!$F$2:$F$52,'Data AFTER'!$A$2:$A$52,$A9)</f>
        <v>1792.55</v>
      </c>
      <c r="E9" s="16" t="n">
        <f aca="false">D9/SUM('Data AFTER'!$F$2:$F$52)</f>
        <v>0.0729686778729318</v>
      </c>
      <c r="F9" s="14" t="n">
        <f aca="false">SUMIFS('Data AFTER'!$G$2:$G$52,'Data AFTER'!$A$2:$A$52,$A9)</f>
        <v>3067126</v>
      </c>
      <c r="G9" s="14" t="n">
        <f aca="false">SUMIFS('Data AFTER'!$H$2:$H$52,'Data AFTER'!$A$2:$A$52,$A9)</f>
        <v>4565246</v>
      </c>
      <c r="H9" s="14" t="n">
        <f aca="false">SUMIFS('Data AFTER'!$I$2:$I$52,'Data AFTER'!$A$2:$A$52,$A9)</f>
        <v>14081</v>
      </c>
      <c r="I9" s="14" t="n">
        <f aca="false">SUMIFS('Data AFTER'!$J$2:$J$52,'Data AFTER'!$A$2:$A$52,$A9)</f>
        <v>619524</v>
      </c>
      <c r="J9" s="17" t="n">
        <f aca="false">IFERROR(G9/F9,"")</f>
        <v>1.48844423085325</v>
      </c>
      <c r="K9" s="18" t="n">
        <f aca="false">IFERROR(D9/G9*1000,"")</f>
        <v>0.39265134890869</v>
      </c>
      <c r="L9" s="23" t="n">
        <f aca="false">IFERROR(H9/G9,"")</f>
        <v>0.0030843901949643</v>
      </c>
      <c r="M9" s="18" t="n">
        <f aca="false">IF(H9&gt;0,D9/H9,"")</f>
        <v>0.127302748384348</v>
      </c>
      <c r="N9" s="16" t="n">
        <f aca="false">IFERROR(I9/G9,"")</f>
        <v>0.135704406728575</v>
      </c>
      <c r="O9" s="21" t="n">
        <f aca="false">IFERROR(D9/I9*1000,"")</f>
        <v>2.89343108580136</v>
      </c>
      <c r="P9" s="21" t="n">
        <f aca="false">IFERROR(D9/F9*1000,"")</f>
        <v>0.584439635019885</v>
      </c>
    </row>
    <row r="10" customFormat="false" ht="15" hidden="false" customHeight="false" outlineLevel="0" collapsed="false">
      <c r="A10" s="3" t="s">
        <v>112</v>
      </c>
      <c r="B10" s="13" t="s">
        <v>62</v>
      </c>
      <c r="C10" s="15" t="n">
        <f aca="false">COUNTIFS('Data AFTER'!$A$2:$A$52,$A10)</f>
        <v>9</v>
      </c>
      <c r="D10" s="32" t="n">
        <f aca="false">SUMIFS('Data AFTER'!$F$2:$F$52,'Data AFTER'!$A$2:$A$52,$A10)</f>
        <v>1778.49</v>
      </c>
      <c r="E10" s="33" t="n">
        <f aca="false">D10/SUM('Data AFTER'!$F$2:$F$52)</f>
        <v>0.0723963425902934</v>
      </c>
      <c r="F10" s="34" t="n">
        <f aca="false">SUMIFS('Data AFTER'!$G$2:$G$52,'Data AFTER'!$A$2:$A$52,$A10)</f>
        <v>6577709</v>
      </c>
      <c r="G10" s="34" t="n">
        <f aca="false">SUMIFS('Data AFTER'!$H$2:$H$52,'Data AFTER'!$A$2:$A$52,$A10)</f>
        <v>8865038</v>
      </c>
      <c r="H10" s="34" t="n">
        <f aca="false">SUMIFS('Data AFTER'!$I$2:$I$52,'Data AFTER'!$A$2:$A$52,$A10)</f>
        <v>18717</v>
      </c>
      <c r="I10" s="34" t="n">
        <f aca="false">SUMIFS('Data AFTER'!$J$2:$J$52,'Data AFTER'!$A$2:$A$52,$A10)</f>
        <v>1344936</v>
      </c>
      <c r="J10" s="35" t="n">
        <f aca="false">IFERROR(G10/F10,"")</f>
        <v>1.34773946369473</v>
      </c>
      <c r="K10" s="36" t="n">
        <f aca="false">IFERROR(D10/G10*1000,"")</f>
        <v>0.200618429385187</v>
      </c>
      <c r="L10" s="37" t="n">
        <f aca="false">IFERROR(H10/G10,"")</f>
        <v>0.00211132766717977</v>
      </c>
      <c r="M10" s="36" t="n">
        <f aca="false">IF(H10&gt;0,D10/H10,"")</f>
        <v>0.0950200352620612</v>
      </c>
      <c r="N10" s="33" t="n">
        <f aca="false">IFERROR(I10/G10,"")</f>
        <v>0.151712378446658</v>
      </c>
      <c r="O10" s="38" t="n">
        <f aca="false">IFERROR(D10/I10*1000,"")</f>
        <v>1.32236032049109</v>
      </c>
      <c r="P10" s="38" t="n">
        <f aca="false">IFERROR(D10/F10*1000,"")</f>
        <v>0.270381374426871</v>
      </c>
    </row>
    <row r="11" customFormat="false" ht="15" hidden="false" customHeight="false" outlineLevel="0" collapsed="false">
      <c r="A11" s="3" t="s">
        <v>113</v>
      </c>
      <c r="B11" s="13" t="s">
        <v>62</v>
      </c>
      <c r="C11" s="15" t="n">
        <f aca="false">COUNTIFS('Data AFTER'!$A$2:$A$52,$A11)</f>
        <v>3</v>
      </c>
      <c r="D11" s="22" t="n">
        <f aca="false">SUMIFS('Data AFTER'!$F$2:$F$52,'Data AFTER'!$A$2:$A$52,$A11)</f>
        <v>1507.38</v>
      </c>
      <c r="E11" s="16" t="n">
        <f aca="false">D11/SUM('Data AFTER'!$F$2:$F$52)</f>
        <v>0.0613603668807564</v>
      </c>
      <c r="F11" s="14" t="n">
        <f aca="false">SUMIFS('Data AFTER'!$G$2:$G$52,'Data AFTER'!$A$2:$A$52,$A11)</f>
        <v>4122062</v>
      </c>
      <c r="G11" s="14" t="n">
        <f aca="false">SUMIFS('Data AFTER'!$H$2:$H$52,'Data AFTER'!$A$2:$A$52,$A11)</f>
        <v>7112181</v>
      </c>
      <c r="H11" s="14" t="n">
        <f aca="false">SUMIFS('Data AFTER'!$I$2:$I$52,'Data AFTER'!$A$2:$A$52,$A11)</f>
        <v>17250</v>
      </c>
      <c r="I11" s="14" t="n">
        <f aca="false">SUMIFS('Data AFTER'!$J$2:$J$52,'Data AFTER'!$A$2:$A$52,$A11)</f>
        <v>772328</v>
      </c>
      <c r="J11" s="17" t="n">
        <f aca="false">IFERROR(G11/F11,"")</f>
        <v>1.72539398970709</v>
      </c>
      <c r="K11" s="18" t="n">
        <f aca="false">IFERROR(D11/G11*1000,"")</f>
        <v>0.211943424949393</v>
      </c>
      <c r="L11" s="23" t="n">
        <f aca="false">IFERROR(H11/G11,"")</f>
        <v>0.00242541633853244</v>
      </c>
      <c r="M11" s="18" t="n">
        <f aca="false">IF(H11&gt;0,D11/H11,"")</f>
        <v>0.087384347826087</v>
      </c>
      <c r="N11" s="16" t="n">
        <f aca="false">IFERROR(I11/G11,"")</f>
        <v>0.108592286951077</v>
      </c>
      <c r="O11" s="21" t="n">
        <f aca="false">IFERROR(D11/I11*1000,"")</f>
        <v>1.95173553205374</v>
      </c>
      <c r="P11" s="21" t="n">
        <f aca="false">IFERROR(D11/F11*1000,"")</f>
        <v>0.365685911565619</v>
      </c>
    </row>
    <row r="12" customFormat="false" ht="15" hidden="false" customHeight="false" outlineLevel="0" collapsed="false">
      <c r="A12" s="3" t="s">
        <v>114</v>
      </c>
      <c r="B12" s="13" t="s">
        <v>62</v>
      </c>
      <c r="C12" s="15" t="n">
        <f aca="false">COUNTIFS('Data AFTER'!$A$2:$A$52,$A12)</f>
        <v>5</v>
      </c>
      <c r="D12" s="32" t="n">
        <f aca="false">SUMIFS('Data AFTER'!$F$2:$F$52,'Data AFTER'!$A$2:$A$52,$A12)</f>
        <v>1500</v>
      </c>
      <c r="E12" s="33" t="n">
        <f aca="false">D12/SUM('Data AFTER'!$F$2:$F$52)</f>
        <v>0.0610599519173232</v>
      </c>
      <c r="F12" s="34" t="n">
        <f aca="false">SUMIFS('Data AFTER'!$G$2:$G$52,'Data AFTER'!$A$2:$A$52,$A12)</f>
        <v>5272510</v>
      </c>
      <c r="G12" s="34" t="n">
        <f aca="false">SUMIFS('Data AFTER'!$H$2:$H$52,'Data AFTER'!$A$2:$A$52,$A12)</f>
        <v>6428153</v>
      </c>
      <c r="H12" s="34" t="n">
        <f aca="false">SUMIFS('Data AFTER'!$I$2:$I$52,'Data AFTER'!$A$2:$A$52,$A12)</f>
        <v>8592</v>
      </c>
      <c r="I12" s="34" t="n">
        <f aca="false">SUMIFS('Data AFTER'!$J$2:$J$52,'Data AFTER'!$A$2:$A$52,$A12)</f>
        <v>1088767</v>
      </c>
      <c r="J12" s="35" t="n">
        <f aca="false">IFERROR(G12/F12,"")</f>
        <v>1.21918270425281</v>
      </c>
      <c r="K12" s="36" t="n">
        <f aca="false">IFERROR(D12/G12*1000,"")</f>
        <v>0.233348521729337</v>
      </c>
      <c r="L12" s="37" t="n">
        <f aca="false">IFERROR(H12/G12,"")</f>
        <v>0.00133662033246564</v>
      </c>
      <c r="M12" s="36" t="n">
        <f aca="false">IF(H12&gt;0,D12/H12,"")</f>
        <v>0.174581005586592</v>
      </c>
      <c r="N12" s="33" t="n">
        <f aca="false">IFERROR(I12/G12,"")</f>
        <v>0.16937477997179</v>
      </c>
      <c r="O12" s="38" t="n">
        <f aca="false">IFERROR(D12/I12*1000,"")</f>
        <v>1.37770523904564</v>
      </c>
      <c r="P12" s="38" t="n">
        <f aca="false">IFERROR(D12/F12*1000,"")</f>
        <v>0.284494481755369</v>
      </c>
    </row>
    <row r="13" customFormat="false" ht="15" hidden="false" customHeight="false" outlineLevel="0" collapsed="false">
      <c r="A13" s="3" t="s">
        <v>115</v>
      </c>
      <c r="B13" s="13" t="s">
        <v>65</v>
      </c>
      <c r="C13" s="15" t="n">
        <f aca="false">COUNTIFS('Data AFTER'!$A$2:$A$52,$A13)</f>
        <v>2</v>
      </c>
      <c r="D13" s="22" t="n">
        <f aca="false">SUMIFS('Data AFTER'!$F$2:$F$52,'Data AFTER'!$A$2:$A$52,$A13)</f>
        <v>1063.5</v>
      </c>
      <c r="E13" s="16" t="n">
        <f aca="false">D13/SUM('Data AFTER'!$F$2:$F$52)</f>
        <v>0.0432915059093822</v>
      </c>
      <c r="F13" s="14" t="n">
        <f aca="false">SUMIFS('Data AFTER'!$G$2:$G$52,'Data AFTER'!$A$2:$A$52,$A13)</f>
        <v>3036460</v>
      </c>
      <c r="G13" s="14" t="n">
        <f aca="false">SUMIFS('Data AFTER'!$H$2:$H$52,'Data AFTER'!$A$2:$A$52,$A13)</f>
        <v>3487246</v>
      </c>
      <c r="H13" s="14" t="n">
        <f aca="false">SUMIFS('Data AFTER'!$I$2:$I$52,'Data AFTER'!$A$2:$A$52,$A13)</f>
        <v>10047</v>
      </c>
      <c r="I13" s="14" t="n">
        <f aca="false">SUMIFS('Data AFTER'!$J$2:$J$52,'Data AFTER'!$A$2:$A$52,$A13)</f>
        <v>1389443</v>
      </c>
      <c r="J13" s="17" t="n">
        <f aca="false">IFERROR(G13/F13,"")</f>
        <v>1.14845774355664</v>
      </c>
      <c r="K13" s="18" t="n">
        <f aca="false">IFERROR(D13/G13*1000,"")</f>
        <v>0.304968447881222</v>
      </c>
      <c r="L13" s="23" t="n">
        <f aca="false">IFERROR(H13/G13,"")</f>
        <v>0.00288107004782571</v>
      </c>
      <c r="M13" s="18" t="n">
        <f aca="false">IF(H13&gt;0,D13/H13,"")</f>
        <v>0.105852493281577</v>
      </c>
      <c r="N13" s="16" t="n">
        <f aca="false">IFERROR(I13/G13,"")</f>
        <v>0.398435613661898</v>
      </c>
      <c r="O13" s="21" t="n">
        <f aca="false">IFERROR(D13/I13*1000,"")</f>
        <v>0.765414630179144</v>
      </c>
      <c r="P13" s="21" t="n">
        <f aca="false">IFERROR(D13/F13*1000,"")</f>
        <v>0.35024337550964</v>
      </c>
    </row>
    <row r="14" customFormat="false" ht="15" hidden="false" customHeight="false" outlineLevel="0" collapsed="false">
      <c r="A14" s="3" t="s">
        <v>116</v>
      </c>
      <c r="B14" s="13" t="s">
        <v>62</v>
      </c>
      <c r="C14" s="15" t="n">
        <f aca="false">COUNTIFS('Data AFTER'!$A$2:$A$52,$A14)</f>
        <v>1</v>
      </c>
      <c r="D14" s="32" t="n">
        <f aca="false">SUMIFS('Data AFTER'!$F$2:$F$52,'Data AFTER'!$A$2:$A$52,$A14)</f>
        <v>852</v>
      </c>
      <c r="E14" s="33" t="n">
        <f aca="false">D14/SUM('Data AFTER'!$F$2:$F$52)</f>
        <v>0.0346820526890396</v>
      </c>
      <c r="F14" s="34" t="n">
        <f aca="false">SUMIFS('Data AFTER'!$G$2:$G$52,'Data AFTER'!$A$2:$A$52,$A14)</f>
        <v>2503983</v>
      </c>
      <c r="G14" s="34" t="n">
        <f aca="false">SUMIFS('Data AFTER'!$H$2:$H$52,'Data AFTER'!$A$2:$A$52,$A14)</f>
        <v>4583157</v>
      </c>
      <c r="H14" s="34" t="n">
        <f aca="false">SUMIFS('Data AFTER'!$I$2:$I$52,'Data AFTER'!$A$2:$A$52,$A14)</f>
        <v>10719</v>
      </c>
      <c r="I14" s="34" t="n">
        <f aca="false">SUMIFS('Data AFTER'!$J$2:$J$52,'Data AFTER'!$A$2:$A$52,$A14)</f>
        <v>1398142</v>
      </c>
      <c r="J14" s="35" t="n">
        <f aca="false">IFERROR(G14/F14,"")</f>
        <v>1.83034669165086</v>
      </c>
      <c r="K14" s="36" t="n">
        <f aca="false">IFERROR(D14/G14*1000,"")</f>
        <v>0.185898061096314</v>
      </c>
      <c r="L14" s="37" t="n">
        <f aca="false">IFERROR(H14/G14,"")</f>
        <v>0.00233878088837018</v>
      </c>
      <c r="M14" s="36" t="n">
        <f aca="false">IF(H14&gt;0,D14/H14,"")</f>
        <v>0.0794850265883011</v>
      </c>
      <c r="N14" s="33" t="n">
        <f aca="false">IFERROR(I14/G14,"")</f>
        <v>0.305060900161177</v>
      </c>
      <c r="O14" s="38" t="n">
        <f aca="false">IFERROR(D14/I14*1000,"")</f>
        <v>0.609380163102174</v>
      </c>
      <c r="P14" s="38" t="n">
        <f aca="false">IFERROR(D14/F14*1000,"")</f>
        <v>0.340257901111949</v>
      </c>
    </row>
    <row r="15" customFormat="false" ht="15" hidden="false" customHeight="false" outlineLevel="0" collapsed="false">
      <c r="A15" s="3" t="s">
        <v>117</v>
      </c>
      <c r="B15" s="13" t="s">
        <v>62</v>
      </c>
      <c r="C15" s="15" t="n">
        <f aca="false">COUNTIFS('Data AFTER'!$A$2:$A$52,$A15)</f>
        <v>2</v>
      </c>
      <c r="D15" s="22" t="n">
        <f aca="false">SUMIFS('Data AFTER'!$F$2:$F$52,'Data AFTER'!$A$2:$A$52,$A15)</f>
        <v>756.63</v>
      </c>
      <c r="E15" s="16" t="n">
        <f aca="false">D15/SUM('Data AFTER'!$F$2:$F$52)</f>
        <v>0.0307998609461362</v>
      </c>
      <c r="F15" s="14" t="n">
        <f aca="false">SUMIFS('Data AFTER'!$G$2:$G$52,'Data AFTER'!$A$2:$A$52,$A15)</f>
        <v>3360139</v>
      </c>
      <c r="G15" s="14" t="n">
        <f aca="false">SUMIFS('Data AFTER'!$H$2:$H$52,'Data AFTER'!$A$2:$A$52,$A15)</f>
        <v>3558936</v>
      </c>
      <c r="H15" s="14" t="n">
        <f aca="false">SUMIFS('Data AFTER'!$I$2:$I$52,'Data AFTER'!$A$2:$A$52,$A15)</f>
        <v>7548</v>
      </c>
      <c r="I15" s="14" t="n">
        <f aca="false">SUMIFS('Data AFTER'!$J$2:$J$52,'Data AFTER'!$A$2:$A$52,$A15)</f>
        <v>522459</v>
      </c>
      <c r="J15" s="17" t="n">
        <f aca="false">IFERROR(G15/F15,"")</f>
        <v>1.05916332627906</v>
      </c>
      <c r="K15" s="18" t="n">
        <f aca="false">IFERROR(D15/G15*1000,"")</f>
        <v>0.212600057994861</v>
      </c>
      <c r="L15" s="23" t="n">
        <f aca="false">IFERROR(H15/G15,"")</f>
        <v>0.00212085859369205</v>
      </c>
      <c r="M15" s="18" t="n">
        <f aca="false">IF(H15&gt;0,D15/H15,"")</f>
        <v>0.100242448330684</v>
      </c>
      <c r="N15" s="16" t="n">
        <f aca="false">IFERROR(I15/G15,"")</f>
        <v>0.146802021727842</v>
      </c>
      <c r="O15" s="21" t="n">
        <f aca="false">IFERROR(D15/I15*1000,"")</f>
        <v>1.44820933317256</v>
      </c>
      <c r="P15" s="21" t="n">
        <f aca="false">IFERROR(D15/F15*1000,"")</f>
        <v>0.225178184592959</v>
      </c>
    </row>
    <row r="16" customFormat="false" ht="15" hidden="false" customHeight="false" outlineLevel="0" collapsed="false">
      <c r="A16" s="3" t="s">
        <v>118</v>
      </c>
      <c r="B16" s="13" t="s">
        <v>67</v>
      </c>
      <c r="C16" s="15" t="n">
        <f aca="false">COUNTIFS('Data AFTER'!$A$2:$A$52,$A16)</f>
        <v>1</v>
      </c>
      <c r="D16" s="32" t="n">
        <f aca="false">SUMIFS('Data AFTER'!$F$2:$F$52,'Data AFTER'!$A$2:$A$52,$A16)</f>
        <v>621.95</v>
      </c>
      <c r="E16" s="33" t="n">
        <f aca="false">D16/SUM('Data AFTER'!$F$2:$F$52)</f>
        <v>0.0253174913966528</v>
      </c>
      <c r="F16" s="34" t="n">
        <f aca="false">SUMIFS('Data AFTER'!$G$2:$G$52,'Data AFTER'!$A$2:$A$52,$A16)</f>
        <v>1107096</v>
      </c>
      <c r="G16" s="34" t="n">
        <f aca="false">SUMIFS('Data AFTER'!$H$2:$H$52,'Data AFTER'!$A$2:$A$52,$A16)</f>
        <v>2259715</v>
      </c>
      <c r="H16" s="34" t="n">
        <f aca="false">SUMIFS('Data AFTER'!$I$2:$I$52,'Data AFTER'!$A$2:$A$52,$A16)</f>
        <v>1</v>
      </c>
      <c r="I16" s="34" t="n">
        <f aca="false">SUMIFS('Data AFTER'!$J$2:$J$52,'Data AFTER'!$A$2:$A$52,$A16)</f>
        <v>776955</v>
      </c>
      <c r="J16" s="35" t="n">
        <f aca="false">IFERROR(G16/F16,"")</f>
        <v>2.04111928866151</v>
      </c>
      <c r="K16" s="36" t="n">
        <f aca="false">IFERROR(D16/G16*1000,"")</f>
        <v>0.275233823734409</v>
      </c>
      <c r="L16" s="37" t="n">
        <f aca="false">IFERROR(H16/G16,"")</f>
        <v>4.42533682344897E-007</v>
      </c>
      <c r="M16" s="36" t="n">
        <f aca="false">IF(H16&gt;0,D16/H16,"")</f>
        <v>621.95</v>
      </c>
      <c r="N16" s="33" t="n">
        <f aca="false">IFERROR(I16/G16,"")</f>
        <v>0.34382875716628</v>
      </c>
      <c r="O16" s="38" t="n">
        <f aca="false">IFERROR(D16/I16*1000,"")</f>
        <v>0.800496811269636</v>
      </c>
      <c r="P16" s="38" t="n">
        <f aca="false">IFERROR(D16/F16*1000,"")</f>
        <v>0.561785066516364</v>
      </c>
    </row>
    <row r="17" customFormat="false" ht="15" hidden="false" customHeight="false" outlineLevel="0" collapsed="false">
      <c r="A17" s="3" t="s">
        <v>119</v>
      </c>
      <c r="B17" s="13" t="s">
        <v>62</v>
      </c>
      <c r="C17" s="15" t="n">
        <f aca="false">COUNTIFS('Data AFTER'!$A$2:$A$52,$A17)</f>
        <v>1</v>
      </c>
      <c r="D17" s="22" t="n">
        <f aca="false">SUMIFS('Data AFTER'!$F$2:$F$52,'Data AFTER'!$A$2:$A$52,$A17)</f>
        <v>602</v>
      </c>
      <c r="E17" s="16" t="n">
        <f aca="false">D17/SUM('Data AFTER'!$F$2:$F$52)</f>
        <v>0.0245053940361524</v>
      </c>
      <c r="F17" s="14" t="n">
        <f aca="false">SUMIFS('Data AFTER'!$G$2:$G$52,'Data AFTER'!$A$2:$A$52,$A17)</f>
        <v>1945861</v>
      </c>
      <c r="G17" s="14" t="n">
        <f aca="false">SUMIFS('Data AFTER'!$H$2:$H$52,'Data AFTER'!$A$2:$A$52,$A17)</f>
        <v>2151425</v>
      </c>
      <c r="H17" s="14" t="n">
        <f aca="false">SUMIFS('Data AFTER'!$I$2:$I$52,'Data AFTER'!$A$2:$A$52,$A17)</f>
        <v>6548</v>
      </c>
      <c r="I17" s="14" t="n">
        <f aca="false">SUMIFS('Data AFTER'!$J$2:$J$52,'Data AFTER'!$A$2:$A$52,$A17)</f>
        <v>996687</v>
      </c>
      <c r="J17" s="17" t="n">
        <f aca="false">IFERROR(G17/F17,"")</f>
        <v>1.10564166710777</v>
      </c>
      <c r="K17" s="18" t="n">
        <f aca="false">IFERROR(D17/G17*1000,"")</f>
        <v>0.279814541524803</v>
      </c>
      <c r="L17" s="23" t="n">
        <f aca="false">IFERROR(H17/G17,"")</f>
        <v>0.00304356414934288</v>
      </c>
      <c r="M17" s="18" t="n">
        <f aca="false">IF(H17&gt;0,D17/H17,"")</f>
        <v>0.0919364691508858</v>
      </c>
      <c r="N17" s="16" t="n">
        <f aca="false">IFERROR(I17/G17,"")</f>
        <v>0.463268298918159</v>
      </c>
      <c r="O17" s="21" t="n">
        <f aca="false">IFERROR(D17/I17*1000,"")</f>
        <v>0.604001055496861</v>
      </c>
      <c r="P17" s="21" t="n">
        <f aca="false">IFERROR(D17/F17*1000,"")</f>
        <v>0.309374616172481</v>
      </c>
    </row>
    <row r="18" customFormat="false" ht="15" hidden="false" customHeight="false" outlineLevel="0" collapsed="false">
      <c r="A18" s="3" t="s">
        <v>120</v>
      </c>
      <c r="B18" s="13" t="s">
        <v>65</v>
      </c>
      <c r="C18" s="15" t="n">
        <f aca="false">COUNTIFS('Data AFTER'!$A$2:$A$52,$A18)</f>
        <v>1</v>
      </c>
      <c r="D18" s="32" t="n">
        <f aca="false">SUMIFS('Data AFTER'!$F$2:$F$52,'Data AFTER'!$A$2:$A$52,$A18)</f>
        <v>574.57</v>
      </c>
      <c r="E18" s="33" t="n">
        <f aca="false">D18/SUM('Data AFTER'!$F$2:$F$52)</f>
        <v>0.0233888110487576</v>
      </c>
      <c r="F18" s="34" t="n">
        <f aca="false">SUMIFS('Data AFTER'!$G$2:$G$52,'Data AFTER'!$A$2:$A$52,$A18)</f>
        <v>945879</v>
      </c>
      <c r="G18" s="34" t="n">
        <f aca="false">SUMIFS('Data AFTER'!$H$2:$H$52,'Data AFTER'!$A$2:$A$52,$A18)</f>
        <v>1869860</v>
      </c>
      <c r="H18" s="34" t="n">
        <f aca="false">SUMIFS('Data AFTER'!$I$2:$I$52,'Data AFTER'!$A$2:$A$52,$A18)</f>
        <v>0</v>
      </c>
      <c r="I18" s="34" t="n">
        <f aca="false">SUMIFS('Data AFTER'!$J$2:$J$52,'Data AFTER'!$A$2:$A$52,$A18)</f>
        <v>968724</v>
      </c>
      <c r="J18" s="35" t="n">
        <f aca="false">IFERROR(G18/F18,"")</f>
        <v>1.97684904728829</v>
      </c>
      <c r="K18" s="36" t="n">
        <f aca="false">IFERROR(D18/G18*1000,"")</f>
        <v>0.30727968938851</v>
      </c>
      <c r="L18" s="37" t="n">
        <f aca="false">IFERROR(H18/G18,"")</f>
        <v>0</v>
      </c>
      <c r="M18" s="36" t="str">
        <f aca="false">IF(H18&gt;0,D18/H18,"")</f>
        <v/>
      </c>
      <c r="N18" s="33" t="n">
        <f aca="false">IFERROR(I18/G18,"")</f>
        <v>0.518073010813644</v>
      </c>
      <c r="O18" s="38" t="n">
        <f aca="false">IFERROR(D18/I18*1000,"")</f>
        <v>0.593120434716184</v>
      </c>
      <c r="P18" s="38" t="n">
        <f aca="false">IFERROR(D18/F18*1000,"")</f>
        <v>0.607445561218718</v>
      </c>
    </row>
    <row r="19" customFormat="false" ht="15" hidden="false" customHeight="false" outlineLevel="0" collapsed="false">
      <c r="A19" s="3" t="s">
        <v>121</v>
      </c>
      <c r="B19" s="13" t="s">
        <v>65</v>
      </c>
      <c r="C19" s="15" t="n">
        <f aca="false">COUNTIFS('Data AFTER'!$A$2:$A$52,$A19)</f>
        <v>1</v>
      </c>
      <c r="D19" s="22" t="n">
        <f aca="false">SUMIFS('Data AFTER'!$F$2:$F$52,'Data AFTER'!$A$2:$A$52,$A19)</f>
        <v>477.21</v>
      </c>
      <c r="E19" s="16" t="n">
        <f aca="false">D19/SUM('Data AFTER'!$F$2:$F$52)</f>
        <v>0.0194256131029772</v>
      </c>
      <c r="F19" s="14" t="n">
        <f aca="false">SUMIFS('Data AFTER'!$G$2:$G$52,'Data AFTER'!$A$2:$A$52,$A19)</f>
        <v>965189</v>
      </c>
      <c r="G19" s="14" t="n">
        <f aca="false">SUMIFS('Data AFTER'!$H$2:$H$52,'Data AFTER'!$A$2:$A$52,$A19)</f>
        <v>1272704</v>
      </c>
      <c r="H19" s="14" t="n">
        <f aca="false">SUMIFS('Data AFTER'!$I$2:$I$52,'Data AFTER'!$A$2:$A$52,$A19)</f>
        <v>3</v>
      </c>
      <c r="I19" s="14" t="n">
        <f aca="false">SUMIFS('Data AFTER'!$J$2:$J$52,'Data AFTER'!$A$2:$A$52,$A19)</f>
        <v>346239</v>
      </c>
      <c r="J19" s="17" t="n">
        <f aca="false">IFERROR(G19/F19,"")</f>
        <v>1.31860599323034</v>
      </c>
      <c r="K19" s="18" t="n">
        <f aca="false">IFERROR(D19/G19*1000,"")</f>
        <v>0.374957570652721</v>
      </c>
      <c r="L19" s="23" t="n">
        <f aca="false">IFERROR(H19/G19,"")</f>
        <v>2.35718595997184E-006</v>
      </c>
      <c r="M19" s="18" t="n">
        <f aca="false">IF(H19&gt;0,D19/H19,"")</f>
        <v>159.07</v>
      </c>
      <c r="N19" s="16" t="n">
        <f aca="false">IFERROR(I19/G19,"")</f>
        <v>0.27204990319823</v>
      </c>
      <c r="O19" s="21" t="n">
        <f aca="false">IFERROR(D19/I19*1000,"")</f>
        <v>1.37826761283391</v>
      </c>
      <c r="P19" s="21" t="n">
        <f aca="false">IFERROR(D19/F19*1000,"")</f>
        <v>0.494421299869766</v>
      </c>
    </row>
    <row r="20" customFormat="false" ht="15" hidden="false" customHeight="false" outlineLevel="0" collapsed="false">
      <c r="A20" s="3" t="s">
        <v>122</v>
      </c>
      <c r="B20" s="13" t="s">
        <v>62</v>
      </c>
      <c r="C20" s="15" t="n">
        <f aca="false">COUNTIFS('Data AFTER'!$A$2:$A$52,$A20)</f>
        <v>1</v>
      </c>
      <c r="D20" s="32" t="n">
        <f aca="false">SUMIFS('Data AFTER'!$F$2:$F$52,'Data AFTER'!$A$2:$A$52,$A20)</f>
        <v>462</v>
      </c>
      <c r="E20" s="33" t="n">
        <f aca="false">D20/SUM('Data AFTER'!$F$2:$F$52)</f>
        <v>0.0188064651905355</v>
      </c>
      <c r="F20" s="34" t="n">
        <f aca="false">SUMIFS('Data AFTER'!$G$2:$G$52,'Data AFTER'!$A$2:$A$52,$A20)</f>
        <v>590811</v>
      </c>
      <c r="G20" s="34" t="n">
        <f aca="false">SUMIFS('Data AFTER'!$H$2:$H$52,'Data AFTER'!$A$2:$A$52,$A20)</f>
        <v>915175</v>
      </c>
      <c r="H20" s="34" t="n">
        <f aca="false">SUMIFS('Data AFTER'!$I$2:$I$52,'Data AFTER'!$A$2:$A$52,$A20)</f>
        <v>3386</v>
      </c>
      <c r="I20" s="34" t="n">
        <f aca="false">SUMIFS('Data AFTER'!$J$2:$J$52,'Data AFTER'!$A$2:$A$52,$A20)</f>
        <v>286309</v>
      </c>
      <c r="J20" s="35" t="n">
        <f aca="false">IFERROR(G20/F20,"")</f>
        <v>1.54901482876927</v>
      </c>
      <c r="K20" s="36" t="n">
        <f aca="false">IFERROR(D20/G20*1000,"")</f>
        <v>0.504821482230175</v>
      </c>
      <c r="L20" s="37" t="n">
        <f aca="false">IFERROR(H20/G20,"")</f>
        <v>0.00369983882863933</v>
      </c>
      <c r="M20" s="36" t="n">
        <f aca="false">IF(H20&gt;0,D20/H20,"")</f>
        <v>0.136444181925576</v>
      </c>
      <c r="N20" s="33" t="n">
        <f aca="false">IFERROR(I20/G20,"")</f>
        <v>0.312846176960691</v>
      </c>
      <c r="O20" s="38" t="n">
        <f aca="false">IFERROR(D20/I20*1000,"")</f>
        <v>1.61364120583006</v>
      </c>
      <c r="P20" s="38" t="n">
        <f aca="false">IFERROR(D20/F20*1000,"")</f>
        <v>0.781975961855822</v>
      </c>
    </row>
    <row r="21" customFormat="false" ht="15" hidden="false" customHeight="false" outlineLevel="0" collapsed="false">
      <c r="A21" s="3" t="s">
        <v>123</v>
      </c>
      <c r="B21" s="13" t="s">
        <v>62</v>
      </c>
      <c r="C21" s="15" t="n">
        <f aca="false">COUNTIFS('Data AFTER'!$A$2:$A$52,$A21)</f>
        <v>1</v>
      </c>
      <c r="D21" s="22" t="n">
        <f aca="false">SUMIFS('Data AFTER'!$F$2:$F$52,'Data AFTER'!$A$2:$A$52,$A21)</f>
        <v>431.42</v>
      </c>
      <c r="E21" s="16" t="n">
        <f aca="false">D21/SUM('Data AFTER'!$F$2:$F$52)</f>
        <v>0.0175616563041144</v>
      </c>
      <c r="F21" s="14" t="n">
        <f aca="false">SUMIFS('Data AFTER'!$G$2:$G$52,'Data AFTER'!$A$2:$A$52,$A21)</f>
        <v>2154806</v>
      </c>
      <c r="G21" s="14" t="n">
        <f aca="false">SUMIFS('Data AFTER'!$H$2:$H$52,'Data AFTER'!$A$2:$A$52,$A21)</f>
        <v>2285573</v>
      </c>
      <c r="H21" s="14" t="n">
        <f aca="false">SUMIFS('Data AFTER'!$I$2:$I$52,'Data AFTER'!$A$2:$A$52,$A21)</f>
        <v>5039</v>
      </c>
      <c r="I21" s="14" t="n">
        <f aca="false">SUMIFS('Data AFTER'!$J$2:$J$52,'Data AFTER'!$A$2:$A$52,$A21)</f>
        <v>227241</v>
      </c>
      <c r="J21" s="17" t="n">
        <f aca="false">IFERROR(G21/F21,"")</f>
        <v>1.06068620562594</v>
      </c>
      <c r="K21" s="18" t="n">
        <f aca="false">IFERROR(D21/G21*1000,"")</f>
        <v>0.188757917598782</v>
      </c>
      <c r="L21" s="23" t="n">
        <f aca="false">IFERROR(H21/G21,"")</f>
        <v>0.00220469877794321</v>
      </c>
      <c r="M21" s="18" t="n">
        <f aca="false">IF(H21&gt;0,D21/H21,"")</f>
        <v>0.0856161936892241</v>
      </c>
      <c r="N21" s="16" t="n">
        <f aca="false">IFERROR(I21/G21,"")</f>
        <v>0.0994240831511398</v>
      </c>
      <c r="O21" s="21" t="n">
        <f aca="false">IFERROR(D21/I21*1000,"")</f>
        <v>1.89851303241933</v>
      </c>
      <c r="P21" s="21" t="n">
        <f aca="false">IFERROR(D21/F21*1000,"")</f>
        <v>0.200212919399705</v>
      </c>
    </row>
    <row r="22" customFormat="false" ht="15" hidden="false" customHeight="false" outlineLevel="0" collapsed="false">
      <c r="A22" s="3" t="s">
        <v>124</v>
      </c>
      <c r="B22" s="13" t="s">
        <v>66</v>
      </c>
      <c r="C22" s="15" t="n">
        <f aca="false">COUNTIFS('Data AFTER'!$A$2:$A$52,$A22)</f>
        <v>2</v>
      </c>
      <c r="D22" s="32" t="n">
        <f aca="false">SUMIFS('Data AFTER'!$F$2:$F$52,'Data AFTER'!$A$2:$A$52,$A22)</f>
        <v>167.47</v>
      </c>
      <c r="E22" s="33" t="n">
        <f aca="false">D22/SUM('Data AFTER'!$F$2:$F$52)</f>
        <v>0.00681714009839608</v>
      </c>
      <c r="F22" s="34" t="n">
        <f aca="false">SUMIFS('Data AFTER'!$G$2:$G$52,'Data AFTER'!$A$2:$A$52,$A22)</f>
        <v>130994</v>
      </c>
      <c r="G22" s="34" t="n">
        <f aca="false">SUMIFS('Data AFTER'!$H$2:$H$52,'Data AFTER'!$A$2:$A$52,$A22)</f>
        <v>264593</v>
      </c>
      <c r="H22" s="34" t="n">
        <f aca="false">SUMIFS('Data AFTER'!$I$2:$I$52,'Data AFTER'!$A$2:$A$52,$A22)</f>
        <v>0</v>
      </c>
      <c r="I22" s="34" t="n">
        <f aca="false">SUMIFS('Data AFTER'!$J$2:$J$52,'Data AFTER'!$A$2:$A$52,$A22)</f>
        <v>95236</v>
      </c>
      <c r="J22" s="35" t="n">
        <f aca="false">IFERROR(G22/F22,"")</f>
        <v>2.01988640701101</v>
      </c>
      <c r="K22" s="36" t="n">
        <f aca="false">IFERROR(D22/G22*1000,"")</f>
        <v>0.632934355784167</v>
      </c>
      <c r="L22" s="37" t="n">
        <f aca="false">IFERROR(H22/G22,"")</f>
        <v>0</v>
      </c>
      <c r="M22" s="36" t="str">
        <f aca="false">IF(H22&gt;0,D22/H22,"")</f>
        <v/>
      </c>
      <c r="N22" s="33" t="n">
        <f aca="false">IFERROR(I22/G22,"")</f>
        <v>0.359933936271935</v>
      </c>
      <c r="O22" s="38" t="n">
        <f aca="false">IFERROR(D22/I22*1000,"")</f>
        <v>1.7584736864211</v>
      </c>
      <c r="P22" s="38" t="n">
        <f aca="false">IFERROR(D22/F22*1000,"")</f>
        <v>1.27845550177871</v>
      </c>
    </row>
    <row r="23" customFormat="false" ht="15" hidden="false" customHeight="false" outlineLevel="0" collapsed="false">
      <c r="A23" s="3" t="s">
        <v>125</v>
      </c>
      <c r="B23" s="13" t="s">
        <v>68</v>
      </c>
      <c r="C23" s="15" t="n">
        <f aca="false">COUNTIFS('Data AFTER'!$A$2:$A$52,$A23)</f>
        <v>1</v>
      </c>
      <c r="D23" s="22" t="n">
        <f aca="false">SUMIFS('Data AFTER'!$F$2:$F$52,'Data AFTER'!$A$2:$A$52,$A23)</f>
        <v>5.15</v>
      </c>
      <c r="E23" s="16" t="n">
        <f aca="false">D23/SUM('Data AFTER'!$F$2:$F$52)</f>
        <v>0.000209639168249476</v>
      </c>
      <c r="F23" s="14" t="n">
        <f aca="false">SUMIFS('Data AFTER'!$G$2:$G$52,'Data AFTER'!$A$2:$A$52,$A23)</f>
        <v>19516</v>
      </c>
      <c r="G23" s="14" t="n">
        <f aca="false">SUMIFS('Data AFTER'!$H$2:$H$52,'Data AFTER'!$A$2:$A$52,$A23)</f>
        <v>20706</v>
      </c>
      <c r="H23" s="14" t="n">
        <f aca="false">SUMIFS('Data AFTER'!$I$2:$I$52,'Data AFTER'!$A$2:$A$52,$A23)</f>
        <v>116</v>
      </c>
      <c r="I23" s="14" t="n">
        <f aca="false">SUMIFS('Data AFTER'!$J$2:$J$52,'Data AFTER'!$A$2:$A$52,$A23)</f>
        <v>7591</v>
      </c>
      <c r="J23" s="17" t="n">
        <f aca="false">IFERROR(G23/F23,"")</f>
        <v>1.0609756097561</v>
      </c>
      <c r="K23" s="18" t="n">
        <f aca="false">IFERROR(D23/G23*1000,"")</f>
        <v>0.248720177726263</v>
      </c>
      <c r="L23" s="23" t="n">
        <f aca="false">IFERROR(H23/G23,"")</f>
        <v>0.00560224089635854</v>
      </c>
      <c r="M23" s="18" t="n">
        <f aca="false">IF(H23&gt;0,D23/H23,"")</f>
        <v>0.0443965517241379</v>
      </c>
      <c r="N23" s="16" t="n">
        <f aca="false">IFERROR(I23/G23,"")</f>
        <v>0.366608712450497</v>
      </c>
      <c r="O23" s="21" t="n">
        <f aca="false">IFERROR(D23/I23*1000,"")</f>
        <v>0.678434988802529</v>
      </c>
      <c r="P23" s="21" t="n">
        <f aca="false">IFERROR(D23/F23*1000,"")</f>
        <v>0.263886042221767</v>
      </c>
    </row>
    <row r="24" customFormat="false" ht="15" hidden="false" customHeight="false" outlineLevel="0" collapsed="false">
      <c r="A24" s="3" t="s">
        <v>126</v>
      </c>
      <c r="B24" s="13" t="s">
        <v>68</v>
      </c>
      <c r="C24" s="15" t="n">
        <f aca="false">COUNTIFS('Data AFTER'!$A$2:$A$52,$A24)</f>
        <v>1</v>
      </c>
      <c r="D24" s="32" t="n">
        <f aca="false">SUMIFS('Data AFTER'!$F$2:$F$52,'Data AFTER'!$A$2:$A$52,$A24)</f>
        <v>0.02</v>
      </c>
      <c r="E24" s="33" t="n">
        <f aca="false">D24/SUM('Data AFTER'!$F$2:$F$52)</f>
        <v>8.14132692230976E-007</v>
      </c>
      <c r="F24" s="34" t="n">
        <f aca="false">SUMIFS('Data AFTER'!$G$2:$G$52,'Data AFTER'!$A$2:$A$52,$A24)</f>
        <v>24</v>
      </c>
      <c r="G24" s="34" t="n">
        <f aca="false">SUMIFS('Data AFTER'!$H$2:$H$52,'Data AFTER'!$A$2:$A$52,$A24)</f>
        <v>29</v>
      </c>
      <c r="H24" s="34" t="n">
        <f aca="false">SUMIFS('Data AFTER'!$I$2:$I$52,'Data AFTER'!$A$2:$A$52,$A24)</f>
        <v>0</v>
      </c>
      <c r="I24" s="34" t="n">
        <f aca="false">SUMIFS('Data AFTER'!$J$2:$J$52,'Data AFTER'!$A$2:$A$52,$A24)</f>
        <v>4</v>
      </c>
      <c r="J24" s="35" t="n">
        <f aca="false">IFERROR(G24/F24,"")</f>
        <v>1.20833333333333</v>
      </c>
      <c r="K24" s="36" t="n">
        <f aca="false">IFERROR(D24/G24*1000,"")</f>
        <v>0.689655172413793</v>
      </c>
      <c r="L24" s="37" t="n">
        <f aca="false">IFERROR(H24/G24,"")</f>
        <v>0</v>
      </c>
      <c r="M24" s="36" t="str">
        <f aca="false">IF(H24&gt;0,D24/H24,"")</f>
        <v/>
      </c>
      <c r="N24" s="33" t="n">
        <f aca="false">IFERROR(I24/G24,"")</f>
        <v>0.137931034482759</v>
      </c>
      <c r="O24" s="38" t="n">
        <f aca="false">IFERROR(D24/I24*1000,"")</f>
        <v>5</v>
      </c>
      <c r="P24" s="38" t="n">
        <f aca="false">IFERROR(D24/F24*1000,"")</f>
        <v>0.833333333333333</v>
      </c>
    </row>
    <row r="25" customFormat="false" ht="15" hidden="false" customHeight="false" outlineLevel="0" collapsed="false">
      <c r="A25" s="3" t="s">
        <v>105</v>
      </c>
      <c r="C25" s="39" t="n">
        <f aca="false">SUM(C5:C24)</f>
        <v>51</v>
      </c>
      <c r="D25" s="40" t="n">
        <f aca="false">SUM(D5:D24)</f>
        <v>24566.02</v>
      </c>
      <c r="F25" s="39" t="n">
        <f aca="false">SUM(F5:F24)</f>
        <v>61767357</v>
      </c>
      <c r="G25" s="39" t="n">
        <f aca="false">SUM(G5:G24)</f>
        <v>93440992</v>
      </c>
      <c r="H25" s="39" t="n">
        <f aca="false">SUM(H5:H24)</f>
        <v>204396</v>
      </c>
      <c r="I25" s="39" t="n">
        <f aca="false">SUM(I5:I24)</f>
        <v>16912347</v>
      </c>
    </row>
  </sheetData>
  <autoFilter ref="A4:P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17" min="5" style="0" width="13"/>
  </cols>
  <sheetData>
    <row r="1" customFormat="false" ht="17.35" hidden="false" customHeight="false" outlineLevel="0" collapsed="false">
      <c r="A1" s="1" t="s">
        <v>127</v>
      </c>
    </row>
    <row r="2" customFormat="false" ht="15" hidden="false" customHeight="false" outlineLevel="0" collapsed="false">
      <c r="A2" s="2" t="s">
        <v>128</v>
      </c>
    </row>
    <row r="4" customFormat="false" ht="31.5" hidden="false" customHeight="true" outlineLevel="0" collapsed="false">
      <c r="A4" s="5" t="s">
        <v>96</v>
      </c>
      <c r="B4" s="5" t="s">
        <v>129</v>
      </c>
      <c r="C4" s="5" t="s">
        <v>10</v>
      </c>
      <c r="D4" s="5" t="s">
        <v>97</v>
      </c>
      <c r="E4" s="5" t="s">
        <v>55</v>
      </c>
      <c r="F4" s="5" t="s">
        <v>56</v>
      </c>
      <c r="G4" s="5" t="s">
        <v>57</v>
      </c>
      <c r="H4" s="5" t="s">
        <v>35</v>
      </c>
      <c r="I4" s="5" t="s">
        <v>58</v>
      </c>
      <c r="J4" s="5" t="s">
        <v>59</v>
      </c>
      <c r="K4" s="5" t="s">
        <v>98</v>
      </c>
      <c r="L4" s="5" t="s">
        <v>39</v>
      </c>
      <c r="M4" s="5" t="s">
        <v>41</v>
      </c>
      <c r="N4" s="5" t="s">
        <v>42</v>
      </c>
      <c r="O4" s="5" t="s">
        <v>44</v>
      </c>
      <c r="P4" s="5" t="s">
        <v>60</v>
      </c>
      <c r="Q4" s="5" t="s">
        <v>61</v>
      </c>
    </row>
    <row r="5" customFormat="false" ht="15" hidden="false" customHeight="false" outlineLevel="0" collapsed="false">
      <c r="A5" s="3" t="s">
        <v>99</v>
      </c>
      <c r="B5" s="13" t="s">
        <v>130</v>
      </c>
      <c r="C5" s="13" t="s">
        <v>62</v>
      </c>
      <c r="D5" s="15" t="n">
        <f aca="false">COUNTIFS('Data BEFORE'!$A$2:$A$48,$A5,'Data BEFORE'!$B$2:$B$48,$B5)</f>
        <v>24</v>
      </c>
      <c r="E5" s="22" t="n">
        <f aca="false">SUMIFS('Data BEFORE'!$F$2:$F$48,'Data BEFORE'!$A$2:$A$48,$A5,'Data BEFORE'!$B$2:$B$48,$B5)</f>
        <v>10996.83</v>
      </c>
      <c r="F5" s="16" t="n">
        <f aca="false">E5/SUM('Data BEFORE'!$F$2:$F$48)</f>
        <v>0.403466186574718</v>
      </c>
      <c r="G5" s="14" t="n">
        <f aca="false">SUMIFS('Data BEFORE'!$G$2:$G$48,'Data BEFORE'!$A$2:$A$48,$A5,'Data BEFORE'!$B$2:$B$48,$B5)</f>
        <v>29728200</v>
      </c>
      <c r="H5" s="14" t="n">
        <f aca="false">SUMIFS('Data BEFORE'!$H$2:$H$48,'Data BEFORE'!$A$2:$A$48,$A5,'Data BEFORE'!$B$2:$B$48,$B5)</f>
        <v>39701659</v>
      </c>
      <c r="I5" s="14" t="n">
        <f aca="false">SUMIFS('Data BEFORE'!$I$2:$I$48,'Data BEFORE'!$A$2:$A$48,$A5,'Data BEFORE'!$B$2:$B$48,$B5)</f>
        <v>90529</v>
      </c>
      <c r="J5" s="14" t="n">
        <f aca="false">SUMIFS('Data BEFORE'!$J$2:$J$48,'Data BEFORE'!$A$2:$A$48,$A5,'Data BEFORE'!$B$2:$B$48,$B5)</f>
        <v>9127912</v>
      </c>
      <c r="K5" s="17" t="n">
        <f aca="false">IFERROR(H5/G5,"")</f>
        <v>1.33548815602694</v>
      </c>
      <c r="L5" s="18" t="n">
        <f aca="false">IFERROR(E5/H5*1000,"")</f>
        <v>0.276986661942767</v>
      </c>
      <c r="M5" s="23" t="n">
        <f aca="false">IFERROR(I5/H5,"")</f>
        <v>0.00228023216863557</v>
      </c>
      <c r="N5" s="18" t="n">
        <f aca="false">IF(I5&gt;0,E5/I5,"")</f>
        <v>0.121473008649162</v>
      </c>
      <c r="O5" s="16" t="n">
        <f aca="false">IFERROR(J5/H5,"")</f>
        <v>0.229912608941606</v>
      </c>
      <c r="P5" s="21" t="n">
        <f aca="false">IFERROR(E5/J5*1000,"")</f>
        <v>1.20474759178222</v>
      </c>
      <c r="Q5" s="21" t="n">
        <f aca="false">IFERROR(E5/G5*1000,"")</f>
        <v>0.369912406402002</v>
      </c>
    </row>
    <row r="6" customFormat="false" ht="15" hidden="false" customHeight="false" outlineLevel="0" collapsed="false">
      <c r="A6" s="3" t="s">
        <v>100</v>
      </c>
      <c r="B6" s="13" t="s">
        <v>131</v>
      </c>
      <c r="C6" s="13" t="s">
        <v>62</v>
      </c>
      <c r="D6" s="15" t="n">
        <f aca="false">COUNTIFS('Data BEFORE'!$A$2:$A$48,$A6,'Data BEFORE'!$B$2:$B$48,$B6)</f>
        <v>9</v>
      </c>
      <c r="E6" s="32" t="n">
        <f aca="false">SUMIFS('Data BEFORE'!$F$2:$F$48,'Data BEFORE'!$A$2:$A$48,$A6,'Data BEFORE'!$B$2:$B$48,$B6)</f>
        <v>7000</v>
      </c>
      <c r="F6" s="33" t="n">
        <f aca="false">E6/SUM('Data BEFORE'!$F$2:$F$48)</f>
        <v>0.256825221997887</v>
      </c>
      <c r="G6" s="34" t="n">
        <f aca="false">SUMIFS('Data BEFORE'!$G$2:$G$48,'Data BEFORE'!$A$2:$A$48,$A6,'Data BEFORE'!$B$2:$B$48,$B6)</f>
        <v>14965894</v>
      </c>
      <c r="H6" s="34" t="n">
        <f aca="false">SUMIFS('Data BEFORE'!$H$2:$H$48,'Data BEFORE'!$A$2:$A$48,$A6,'Data BEFORE'!$B$2:$B$48,$B6)</f>
        <v>26217754</v>
      </c>
      <c r="I6" s="34" t="n">
        <f aca="false">SUMIFS('Data BEFORE'!$I$2:$I$48,'Data BEFORE'!$A$2:$A$48,$A6,'Data BEFORE'!$B$2:$B$48,$B6)</f>
        <v>74336</v>
      </c>
      <c r="J6" s="34" t="n">
        <f aca="false">SUMIFS('Data BEFORE'!$J$2:$J$48,'Data BEFORE'!$A$2:$A$48,$A6,'Data BEFORE'!$B$2:$B$48,$B6)</f>
        <v>7168839</v>
      </c>
      <c r="K6" s="35" t="n">
        <f aca="false">IFERROR(H6/G6,"")</f>
        <v>1.75183346881917</v>
      </c>
      <c r="L6" s="36" t="n">
        <f aca="false">IFERROR(E6/H6*1000,"")</f>
        <v>0.266994647977855</v>
      </c>
      <c r="M6" s="37" t="n">
        <f aca="false">IFERROR(I6/H6,"")</f>
        <v>0.00283533059315455</v>
      </c>
      <c r="N6" s="36" t="n">
        <f aca="false">IF(I6&gt;0,E6/I6,"")</f>
        <v>0.094167025398192</v>
      </c>
      <c r="O6" s="33" t="n">
        <f aca="false">IFERROR(J6/H6,"")</f>
        <v>0.273434520744988</v>
      </c>
      <c r="P6" s="38" t="n">
        <f aca="false">IFERROR(E6/J6*1000,"")</f>
        <v>0.976448208698787</v>
      </c>
      <c r="Q6" s="38" t="n">
        <f aca="false">IFERROR(E6/G6*1000,"")</f>
        <v>0.467730160323199</v>
      </c>
    </row>
    <row r="7" customFormat="false" ht="15" hidden="false" customHeight="false" outlineLevel="0" collapsed="false">
      <c r="A7" s="3" t="s">
        <v>101</v>
      </c>
      <c r="B7" s="13" t="s">
        <v>131</v>
      </c>
      <c r="C7" s="13" t="s">
        <v>62</v>
      </c>
      <c r="D7" s="15" t="n">
        <f aca="false">COUNTIFS('Data BEFORE'!$A$2:$A$48,$A7,'Data BEFORE'!$B$2:$B$48,$B7)</f>
        <v>8</v>
      </c>
      <c r="E7" s="22" t="n">
        <f aca="false">SUMIFS('Data BEFORE'!$F$2:$F$48,'Data BEFORE'!$A$2:$A$48,$A7,'Data BEFORE'!$B$2:$B$48,$B7)</f>
        <v>7000</v>
      </c>
      <c r="F7" s="16" t="n">
        <f aca="false">E7/SUM('Data BEFORE'!$F$2:$F$48)</f>
        <v>0.256825221997887</v>
      </c>
      <c r="G7" s="14" t="n">
        <f aca="false">SUMIFS('Data BEFORE'!$G$2:$G$48,'Data BEFORE'!$A$2:$A$48,$A7,'Data BEFORE'!$B$2:$B$48,$B7)</f>
        <v>19665770</v>
      </c>
      <c r="H7" s="14" t="n">
        <f aca="false">SUMIFS('Data BEFORE'!$H$2:$H$48,'Data BEFORE'!$A$2:$A$48,$A7,'Data BEFORE'!$B$2:$B$48,$B7)</f>
        <v>35530416</v>
      </c>
      <c r="I7" s="14" t="n">
        <f aca="false">SUMIFS('Data BEFORE'!$I$2:$I$48,'Data BEFORE'!$A$2:$A$48,$A7,'Data BEFORE'!$B$2:$B$48,$B7)</f>
        <v>81684</v>
      </c>
      <c r="J7" s="14" t="n">
        <f aca="false">SUMIFS('Data BEFORE'!$J$2:$J$48,'Data BEFORE'!$A$2:$A$48,$A7,'Data BEFORE'!$B$2:$B$48,$B7)</f>
        <v>6938421</v>
      </c>
      <c r="K7" s="17" t="n">
        <f aca="false">IFERROR(H7/G7,"")</f>
        <v>1.80671369592953</v>
      </c>
      <c r="L7" s="18" t="n">
        <f aca="false">IFERROR(E7/H7*1000,"")</f>
        <v>0.19701429896008</v>
      </c>
      <c r="M7" s="23" t="n">
        <f aca="false">IFERROR(I7/H7,"")</f>
        <v>0.00229898799946502</v>
      </c>
      <c r="N7" s="18" t="n">
        <f aca="false">IF(I7&gt;0,E7/I7,"")</f>
        <v>0.0856960971548896</v>
      </c>
      <c r="O7" s="16" t="n">
        <f aca="false">IFERROR(J7/H7,"")</f>
        <v>0.195281164172128</v>
      </c>
      <c r="P7" s="21" t="n">
        <f aca="false">IFERROR(E7/J7*1000,"")</f>
        <v>1.00887507402621</v>
      </c>
      <c r="Q7" s="21" t="n">
        <f aca="false">IFERROR(E7/G7*1000,"")</f>
        <v>0.35594843222513</v>
      </c>
    </row>
    <row r="8" customFormat="false" ht="15" hidden="false" customHeight="false" outlineLevel="0" collapsed="false">
      <c r="A8" s="3" t="s">
        <v>102</v>
      </c>
      <c r="B8" s="13" t="s">
        <v>131</v>
      </c>
      <c r="C8" s="13" t="s">
        <v>66</v>
      </c>
      <c r="D8" s="15" t="n">
        <f aca="false">COUNTIFS('Data BEFORE'!$A$2:$A$48,$A8,'Data BEFORE'!$B$2:$B$48,$B8)</f>
        <v>2</v>
      </c>
      <c r="E8" s="32" t="n">
        <f aca="false">SUMIFS('Data BEFORE'!$F$2:$F$48,'Data BEFORE'!$A$2:$A$48,$A8,'Data BEFORE'!$B$2:$B$48,$B8)</f>
        <v>1414.83</v>
      </c>
      <c r="F8" s="33" t="n">
        <f aca="false">E8/SUM('Data BEFORE'!$F$2:$F$48)</f>
        <v>0.0519091469770387</v>
      </c>
      <c r="G8" s="34" t="n">
        <f aca="false">SUMIFS('Data BEFORE'!$G$2:$G$48,'Data BEFORE'!$A$2:$A$48,$A8,'Data BEFORE'!$B$2:$B$48,$B8)</f>
        <v>1011718</v>
      </c>
      <c r="H8" s="34" t="n">
        <f aca="false">SUMIFS('Data BEFORE'!$H$2:$H$48,'Data BEFORE'!$A$2:$A$48,$A8,'Data BEFORE'!$B$2:$B$48,$B8)</f>
        <v>2906700</v>
      </c>
      <c r="I8" s="34" t="n">
        <f aca="false">SUMIFS('Data BEFORE'!$I$2:$I$48,'Data BEFORE'!$A$2:$A$48,$A8,'Data BEFORE'!$B$2:$B$48,$B8)</f>
        <v>0</v>
      </c>
      <c r="J8" s="34" t="n">
        <f aca="false">SUMIFS('Data BEFORE'!$J$2:$J$48,'Data BEFORE'!$A$2:$A$48,$A8,'Data BEFORE'!$B$2:$B$48,$B8)</f>
        <v>560362</v>
      </c>
      <c r="K8" s="35" t="n">
        <f aca="false">IFERROR(H8/G8,"")</f>
        <v>2.87303379004822</v>
      </c>
      <c r="L8" s="36" t="n">
        <f aca="false">IFERROR(E8/H8*1000,"")</f>
        <v>0.486747858396119</v>
      </c>
      <c r="M8" s="37" t="n">
        <f aca="false">IFERROR(I8/H8,"")</f>
        <v>0</v>
      </c>
      <c r="N8" s="36" t="str">
        <f aca="false">IF(I8&gt;0,E8/I8,"")</f>
        <v/>
      </c>
      <c r="O8" s="33" t="n">
        <f aca="false">IFERROR(J8/H8,"")</f>
        <v>0.192782880930265</v>
      </c>
      <c r="P8" s="38" t="n">
        <f aca="false">IFERROR(E8/J8*1000,"")</f>
        <v>2.52485000767361</v>
      </c>
      <c r="Q8" s="38" t="n">
        <f aca="false">IFERROR(E8/G8*1000,"")</f>
        <v>1.39844304440565</v>
      </c>
    </row>
    <row r="9" customFormat="false" ht="15" hidden="false" customHeight="false" outlineLevel="0" collapsed="false">
      <c r="A9" s="3" t="s">
        <v>103</v>
      </c>
      <c r="B9" s="13" t="s">
        <v>132</v>
      </c>
      <c r="C9" s="13" t="s">
        <v>66</v>
      </c>
      <c r="D9" s="15" t="n">
        <f aca="false">COUNTIFS('Data BEFORE'!$A$2:$A$48,$A9,'Data BEFORE'!$B$2:$B$48,$B9)</f>
        <v>3</v>
      </c>
      <c r="E9" s="22" t="n">
        <f aca="false">SUMIFS('Data BEFORE'!$F$2:$F$48,'Data BEFORE'!$A$2:$A$48,$A9,'Data BEFORE'!$B$2:$B$48,$B9)</f>
        <v>576.67</v>
      </c>
      <c r="F9" s="16" t="n">
        <f aca="false">E9/SUM('Data BEFORE'!$F$2:$F$48)</f>
        <v>0.0211576286813603</v>
      </c>
      <c r="G9" s="14" t="n">
        <f aca="false">SUMIFS('Data BEFORE'!$G$2:$G$48,'Data BEFORE'!$A$2:$A$48,$A9,'Data BEFORE'!$B$2:$B$48,$B9)</f>
        <v>457234</v>
      </c>
      <c r="H9" s="14" t="n">
        <f aca="false">SUMIFS('Data BEFORE'!$H$2:$H$48,'Data BEFORE'!$A$2:$A$48,$A9,'Data BEFORE'!$B$2:$B$48,$B9)</f>
        <v>741947</v>
      </c>
      <c r="I9" s="14" t="n">
        <f aca="false">SUMIFS('Data BEFORE'!$I$2:$I$48,'Data BEFORE'!$A$2:$A$48,$A9,'Data BEFORE'!$B$2:$B$48,$B9)</f>
        <v>0</v>
      </c>
      <c r="J9" s="14" t="n">
        <f aca="false">SUMIFS('Data BEFORE'!$J$2:$J$48,'Data BEFORE'!$A$2:$A$48,$A9,'Data BEFORE'!$B$2:$B$48,$B9)</f>
        <v>281859</v>
      </c>
      <c r="K9" s="17" t="n">
        <f aca="false">IFERROR(H9/G9,"")</f>
        <v>1.62268553957055</v>
      </c>
      <c r="L9" s="18" t="n">
        <f aca="false">IFERROR(E9/H9*1000,"")</f>
        <v>0.777238805467237</v>
      </c>
      <c r="M9" s="23" t="n">
        <f aca="false">IFERROR(I9/H9,"")</f>
        <v>0</v>
      </c>
      <c r="N9" s="18" t="str">
        <f aca="false">IF(I9&gt;0,E9/I9,"")</f>
        <v/>
      </c>
      <c r="O9" s="16" t="n">
        <f aca="false">IFERROR(J9/H9,"")</f>
        <v>0.379891016474223</v>
      </c>
      <c r="P9" s="21" t="n">
        <f aca="false">IFERROR(E9/J9*1000,"")</f>
        <v>2.04595205404121</v>
      </c>
      <c r="Q9" s="21" t="n">
        <f aca="false">IFERROR(E9/G9*1000,"")</f>
        <v>1.26121417042477</v>
      </c>
    </row>
    <row r="10" customFormat="false" ht="15" hidden="false" customHeight="false" outlineLevel="0" collapsed="false">
      <c r="A10" s="3" t="s">
        <v>104</v>
      </c>
      <c r="B10" s="13" t="s">
        <v>133</v>
      </c>
      <c r="C10" s="13" t="s">
        <v>66</v>
      </c>
      <c r="D10" s="15" t="n">
        <f aca="false">COUNTIFS('Data BEFORE'!$A$2:$A$48,$A10,'Data BEFORE'!$B$2:$B$48,$B10)</f>
        <v>1</v>
      </c>
      <c r="E10" s="32" t="n">
        <f aca="false">SUMIFS('Data BEFORE'!$F$2:$F$48,'Data BEFORE'!$A$2:$A$48,$A10,'Data BEFORE'!$B$2:$B$48,$B10)</f>
        <v>267.56</v>
      </c>
      <c r="F10" s="33" t="n">
        <f aca="false">E10/SUM('Data BEFORE'!$F$2:$F$48)</f>
        <v>0.00981659377110782</v>
      </c>
      <c r="G10" s="34" t="n">
        <f aca="false">SUMIFS('Data BEFORE'!$G$2:$G$48,'Data BEFORE'!$A$2:$A$48,$A10,'Data BEFORE'!$B$2:$B$48,$B10)</f>
        <v>146099</v>
      </c>
      <c r="H10" s="34" t="n">
        <f aca="false">SUMIFS('Data BEFORE'!$H$2:$H$48,'Data BEFORE'!$A$2:$A$48,$A10,'Data BEFORE'!$B$2:$B$48,$B10)</f>
        <v>258263</v>
      </c>
      <c r="I10" s="34" t="n">
        <f aca="false">SUMIFS('Data BEFORE'!$I$2:$I$48,'Data BEFORE'!$A$2:$A$48,$A10,'Data BEFORE'!$B$2:$B$48,$B10)</f>
        <v>0</v>
      </c>
      <c r="J10" s="34" t="n">
        <f aca="false">SUMIFS('Data BEFORE'!$J$2:$J$48,'Data BEFORE'!$A$2:$A$48,$A10,'Data BEFORE'!$B$2:$B$48,$B10)</f>
        <v>66068</v>
      </c>
      <c r="K10" s="35" t="n">
        <f aca="false">IFERROR(H10/G10,"")</f>
        <v>1.76772599401776</v>
      </c>
      <c r="L10" s="36" t="n">
        <f aca="false">IFERROR(E10/H10*1000,"")</f>
        <v>1.03599818789374</v>
      </c>
      <c r="M10" s="37" t="n">
        <f aca="false">IFERROR(I10/H10,"")</f>
        <v>0</v>
      </c>
      <c r="N10" s="36" t="str">
        <f aca="false">IF(I10&gt;0,E10/I10,"")</f>
        <v/>
      </c>
      <c r="O10" s="33" t="n">
        <f aca="false">IFERROR(J10/H10,"")</f>
        <v>0.255816744946043</v>
      </c>
      <c r="P10" s="38" t="n">
        <f aca="false">IFERROR(E10/J10*1000,"")</f>
        <v>4.04976690682327</v>
      </c>
      <c r="Q10" s="38" t="n">
        <f aca="false">IFERROR(E10/G10*1000,"")</f>
        <v>1.83136092649505</v>
      </c>
    </row>
    <row r="11" customFormat="false" ht="15" hidden="false" customHeight="false" outlineLevel="0" collapsed="false">
      <c r="A11" s="3" t="s">
        <v>105</v>
      </c>
      <c r="D11" s="39" t="n">
        <f aca="false">SUM(D5:D10)</f>
        <v>47</v>
      </c>
      <c r="E11" s="40" t="n">
        <f aca="false">SUM(E5:E10)</f>
        <v>27255.89</v>
      </c>
      <c r="G11" s="39" t="n">
        <f aca="false">SUM(G5:G10)</f>
        <v>65974915</v>
      </c>
      <c r="H11" s="39" t="n">
        <f aca="false">SUM(H5:H10)</f>
        <v>105356739</v>
      </c>
      <c r="I11" s="39" t="n">
        <f aca="false">SUM(I5:I10)</f>
        <v>246549</v>
      </c>
      <c r="J11" s="39" t="n">
        <f aca="false">SUM(J5:J10)</f>
        <v>24143461</v>
      </c>
    </row>
  </sheetData>
  <autoFilter ref="A4:Q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17" min="5" style="0" width="13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128</v>
      </c>
    </row>
    <row r="4" customFormat="false" ht="31.5" hidden="false" customHeight="true" outlineLevel="0" collapsed="false">
      <c r="A4" s="5" t="s">
        <v>96</v>
      </c>
      <c r="B4" s="5" t="s">
        <v>129</v>
      </c>
      <c r="C4" s="5" t="s">
        <v>10</v>
      </c>
      <c r="D4" s="5" t="s">
        <v>97</v>
      </c>
      <c r="E4" s="5" t="s">
        <v>55</v>
      </c>
      <c r="F4" s="5" t="s">
        <v>56</v>
      </c>
      <c r="G4" s="5" t="s">
        <v>57</v>
      </c>
      <c r="H4" s="5" t="s">
        <v>35</v>
      </c>
      <c r="I4" s="5" t="s">
        <v>58</v>
      </c>
      <c r="J4" s="5" t="s">
        <v>59</v>
      </c>
      <c r="K4" s="5" t="s">
        <v>98</v>
      </c>
      <c r="L4" s="5" t="s">
        <v>39</v>
      </c>
      <c r="M4" s="5" t="s">
        <v>41</v>
      </c>
      <c r="N4" s="5" t="s">
        <v>42</v>
      </c>
      <c r="O4" s="5" t="s">
        <v>44</v>
      </c>
      <c r="P4" s="5" t="s">
        <v>60</v>
      </c>
      <c r="Q4" s="5" t="s">
        <v>61</v>
      </c>
    </row>
    <row r="5" customFormat="false" ht="15" hidden="false" customHeight="false" outlineLevel="0" collapsed="false">
      <c r="A5" s="3" t="s">
        <v>107</v>
      </c>
      <c r="B5" s="13" t="s">
        <v>135</v>
      </c>
      <c r="C5" s="13" t="s">
        <v>62</v>
      </c>
      <c r="D5" s="15" t="n">
        <f aca="false">COUNTIFS('Data AFTER'!$A$2:$A$52,$A5,'Data AFTER'!$B$2:$B$52,$B5)</f>
        <v>1</v>
      </c>
      <c r="E5" s="22" t="n">
        <f aca="false">SUMIFS('Data AFTER'!$F$2:$F$52,'Data AFTER'!$A$2:$A$52,$A5,'Data AFTER'!$B$2:$B$52,$B5)</f>
        <v>3594.01</v>
      </c>
      <c r="F5" s="16" t="n">
        <f aca="false">E5/SUM('Data AFTER'!$F$2:$F$52)</f>
        <v>0.146300051860253</v>
      </c>
      <c r="G5" s="14" t="n">
        <f aca="false">SUMIFS('Data AFTER'!$G$2:$G$52,'Data AFTER'!$A$2:$A$52,$A5,'Data AFTER'!$B$2:$B$52,$B5)</f>
        <v>3359491</v>
      </c>
      <c r="H5" s="14" t="n">
        <f aca="false">SUMIFS('Data AFTER'!$H$2:$H$52,'Data AFTER'!$A$2:$A$52,$A5,'Data AFTER'!$B$2:$B$52,$B5)</f>
        <v>11212822</v>
      </c>
      <c r="I5" s="14" t="n">
        <f aca="false">SUMIFS('Data AFTER'!$I$2:$I$52,'Data AFTER'!$A$2:$A$52,$A5,'Data AFTER'!$B$2:$B$52,$B5)</f>
        <v>26184</v>
      </c>
      <c r="J5" s="14" t="n">
        <f aca="false">SUMIFS('Data AFTER'!$J$2:$J$52,'Data AFTER'!$A$2:$A$52,$A5,'Data AFTER'!$B$2:$B$52,$B5)</f>
        <v>799143</v>
      </c>
      <c r="K5" s="17" t="n">
        <f aca="false">IFERROR(H5/G5,"")</f>
        <v>3.33765501976341</v>
      </c>
      <c r="L5" s="18" t="n">
        <f aca="false">IFERROR(E5/H5*1000,"")</f>
        <v>0.320526804046296</v>
      </c>
      <c r="M5" s="23" t="n">
        <f aca="false">IFERROR(I5/H5,"")</f>
        <v>0.00233518377443252</v>
      </c>
      <c r="N5" s="18" t="n">
        <f aca="false">IF(I5&gt;0,E5/I5,"")</f>
        <v>0.137259776963031</v>
      </c>
      <c r="O5" s="16" t="n">
        <f aca="false">IFERROR(J5/H5,"")</f>
        <v>0.0712704616197421</v>
      </c>
      <c r="P5" s="21" t="n">
        <f aca="false">IFERROR(E5/J5*1000,"")</f>
        <v>4.49733026504643</v>
      </c>
      <c r="Q5" s="21" t="n">
        <f aca="false">IFERROR(E5/G5*1000,"")</f>
        <v>1.06980789649384</v>
      </c>
    </row>
    <row r="6" customFormat="false" ht="15" hidden="false" customHeight="false" outlineLevel="0" collapsed="false">
      <c r="A6" s="3" t="s">
        <v>108</v>
      </c>
      <c r="B6" s="13" t="s">
        <v>136</v>
      </c>
      <c r="C6" s="13" t="s">
        <v>62</v>
      </c>
      <c r="D6" s="15" t="n">
        <f aca="false">COUNTIFS('Data AFTER'!$A$2:$A$52,$A6,'Data AFTER'!$B$2:$B$52,$B6)</f>
        <v>6</v>
      </c>
      <c r="E6" s="32" t="n">
        <f aca="false">SUMIFS('Data AFTER'!$F$2:$F$52,'Data AFTER'!$A$2:$A$52,$A6,'Data AFTER'!$B$2:$B$52,$B6)</f>
        <v>3110</v>
      </c>
      <c r="F6" s="33" t="n">
        <f aca="false">E6/SUM('Data AFTER'!$F$2:$F$52)</f>
        <v>0.126597633641917</v>
      </c>
      <c r="G6" s="34" t="n">
        <f aca="false">SUMIFS('Data AFTER'!$G$2:$G$52,'Data AFTER'!$A$2:$A$52,$A6,'Data AFTER'!$B$2:$B$52,$B6)</f>
        <v>8956075</v>
      </c>
      <c r="H6" s="34" t="n">
        <f aca="false">SUMIFS('Data AFTER'!$H$2:$H$52,'Data AFTER'!$A$2:$A$52,$A6,'Data AFTER'!$B$2:$B$52,$B6)</f>
        <v>10446178</v>
      </c>
      <c r="I6" s="34" t="n">
        <f aca="false">SUMIFS('Data AFTER'!$I$2:$I$52,'Data AFTER'!$A$2:$A$52,$A6,'Data AFTER'!$B$2:$B$52,$B6)</f>
        <v>22490</v>
      </c>
      <c r="J6" s="34" t="n">
        <f aca="false">SUMIFS('Data AFTER'!$J$2:$J$52,'Data AFTER'!$A$2:$A$52,$A6,'Data AFTER'!$B$2:$B$52,$B6)</f>
        <v>2692310</v>
      </c>
      <c r="K6" s="35" t="n">
        <f aca="false">IFERROR(H6/G6,"")</f>
        <v>1.16637902206045</v>
      </c>
      <c r="L6" s="36" t="n">
        <f aca="false">IFERROR(E6/H6*1000,"")</f>
        <v>0.297716542835092</v>
      </c>
      <c r="M6" s="37" t="n">
        <f aca="false">IFERROR(I6/H6,"")</f>
        <v>0.00215294053001969</v>
      </c>
      <c r="N6" s="36" t="n">
        <f aca="false">IF(I6&gt;0,E6/I6,"")</f>
        <v>0.138283681636283</v>
      </c>
      <c r="O6" s="33" t="n">
        <f aca="false">IFERROR(J6/H6,"")</f>
        <v>0.257731583742877</v>
      </c>
      <c r="P6" s="38" t="n">
        <f aca="false">IFERROR(E6/J6*1000,"")</f>
        <v>1.15514186702126</v>
      </c>
      <c r="Q6" s="38" t="n">
        <f aca="false">IFERROR(E6/G6*1000,"")</f>
        <v>0.347250330083212</v>
      </c>
    </row>
    <row r="7" customFormat="false" ht="15" hidden="false" customHeight="false" outlineLevel="0" collapsed="false">
      <c r="A7" s="3" t="s">
        <v>109</v>
      </c>
      <c r="B7" s="13" t="s">
        <v>137</v>
      </c>
      <c r="C7" s="13" t="s">
        <v>62</v>
      </c>
      <c r="D7" s="15" t="n">
        <f aca="false">COUNTIFS('Data AFTER'!$A$2:$A$52,$A7,'Data AFTER'!$B$2:$B$52,$B7)</f>
        <v>2</v>
      </c>
      <c r="E7" s="22" t="n">
        <f aca="false">SUMIFS('Data AFTER'!$F$2:$F$52,'Data AFTER'!$A$2:$A$52,$A7,'Data AFTER'!$B$2:$B$52,$B7)</f>
        <v>2730.67</v>
      </c>
      <c r="F7" s="16" t="n">
        <f aca="false">E7/SUM('Data AFTER'!$F$2:$F$52)</f>
        <v>0.111156385934718</v>
      </c>
      <c r="G7" s="14" t="n">
        <f aca="false">SUMIFS('Data AFTER'!$G$2:$G$52,'Data AFTER'!$A$2:$A$52,$A7,'Data AFTER'!$B$2:$B$52,$B7)</f>
        <v>4332171</v>
      </c>
      <c r="H7" s="14" t="n">
        <f aca="false">SUMIFS('Data AFTER'!$H$2:$H$52,'Data AFTER'!$A$2:$A$52,$A7,'Data AFTER'!$B$2:$B$52,$B7)</f>
        <v>11665942</v>
      </c>
      <c r="I7" s="14" t="n">
        <f aca="false">SUMIFS('Data AFTER'!$I$2:$I$52,'Data AFTER'!$A$2:$A$52,$A7,'Data AFTER'!$B$2:$B$52,$B7)</f>
        <v>27096</v>
      </c>
      <c r="J7" s="14" t="n">
        <f aca="false">SUMIFS('Data AFTER'!$J$2:$J$52,'Data AFTER'!$A$2:$A$52,$A7,'Data AFTER'!$B$2:$B$52,$B7)</f>
        <v>806808</v>
      </c>
      <c r="K7" s="17" t="n">
        <f aca="false">IFERROR(H7/G7,"")</f>
        <v>2.69286277019074</v>
      </c>
      <c r="L7" s="18" t="n">
        <f aca="false">IFERROR(E7/H7*1000,"")</f>
        <v>0.234071967784513</v>
      </c>
      <c r="M7" s="23" t="n">
        <f aca="false">IFERROR(I7/H7,"")</f>
        <v>0.00232265855599145</v>
      </c>
      <c r="N7" s="18" t="n">
        <f aca="false">IF(I7&gt;0,E7/I7,"")</f>
        <v>0.100777605550635</v>
      </c>
      <c r="O7" s="16" t="n">
        <f aca="false">IFERROR(J7/H7,"")</f>
        <v>0.0691592672070545</v>
      </c>
      <c r="P7" s="21" t="n">
        <f aca="false">IFERROR(E7/J7*1000,"")</f>
        <v>3.38453510624585</v>
      </c>
      <c r="Q7" s="21" t="n">
        <f aca="false">IFERROR(E7/G7*1000,"")</f>
        <v>0.630323687592203</v>
      </c>
    </row>
    <row r="8" customFormat="false" ht="15" hidden="false" customHeight="false" outlineLevel="0" collapsed="false">
      <c r="A8" s="3" t="s">
        <v>110</v>
      </c>
      <c r="B8" s="13" t="s">
        <v>138</v>
      </c>
      <c r="C8" s="13" t="s">
        <v>62</v>
      </c>
      <c r="D8" s="15" t="n">
        <f aca="false">COUNTIFS('Data AFTER'!$A$2:$A$52,$A8,'Data AFTER'!$B$2:$B$52,$B8)</f>
        <v>6</v>
      </c>
      <c r="E8" s="32" t="n">
        <f aca="false">SUMIFS('Data AFTER'!$F$2:$F$52,'Data AFTER'!$A$2:$A$52,$A8,'Data AFTER'!$B$2:$B$52,$B8)</f>
        <v>2339</v>
      </c>
      <c r="F8" s="33" t="n">
        <f aca="false">E8/SUM('Data AFTER'!$F$2:$F$52)</f>
        <v>0.0952128183564126</v>
      </c>
      <c r="G8" s="34" t="n">
        <f aca="false">SUMIFS('Data AFTER'!$G$2:$G$52,'Data AFTER'!$A$2:$A$52,$A8,'Data AFTER'!$B$2:$B$52,$B8)</f>
        <v>8477218</v>
      </c>
      <c r="H8" s="34" t="n">
        <f aca="false">SUMIFS('Data AFTER'!$H$2:$H$52,'Data AFTER'!$A$2:$A$52,$A8,'Data AFTER'!$B$2:$B$52,$B8)</f>
        <v>9454513</v>
      </c>
      <c r="I8" s="34" t="n">
        <f aca="false">SUMIFS('Data AFTER'!$I$2:$I$52,'Data AFTER'!$A$2:$A$52,$A8,'Data AFTER'!$B$2:$B$52,$B8)</f>
        <v>23069</v>
      </c>
      <c r="J8" s="34" t="n">
        <f aca="false">SUMIFS('Data AFTER'!$J$2:$J$52,'Data AFTER'!$A$2:$A$52,$A8,'Data AFTER'!$B$2:$B$52,$B8)</f>
        <v>1384300</v>
      </c>
      <c r="K8" s="35" t="n">
        <f aca="false">IFERROR(H8/G8,"")</f>
        <v>1.11528487293827</v>
      </c>
      <c r="L8" s="36" t="n">
        <f aca="false">IFERROR(E8/H8*1000,"")</f>
        <v>0.247395080000419</v>
      </c>
      <c r="M8" s="37" t="n">
        <f aca="false">IFERROR(I8/H8,"")</f>
        <v>0.00243999876038036</v>
      </c>
      <c r="N8" s="36" t="n">
        <f aca="false">IF(I8&gt;0,E8/I8,"")</f>
        <v>0.101391477740691</v>
      </c>
      <c r="O8" s="33" t="n">
        <f aca="false">IFERROR(J8/H8,"")</f>
        <v>0.146416848757837</v>
      </c>
      <c r="P8" s="38" t="n">
        <f aca="false">IFERROR(E8/J8*1000,"")</f>
        <v>1.68966264538034</v>
      </c>
      <c r="Q8" s="38" t="n">
        <f aca="false">IFERROR(E8/G8*1000,"")</f>
        <v>0.27591599036382</v>
      </c>
    </row>
    <row r="9" customFormat="false" ht="15" hidden="false" customHeight="false" outlineLevel="0" collapsed="false">
      <c r="A9" s="3" t="s">
        <v>111</v>
      </c>
      <c r="B9" s="13" t="s">
        <v>139</v>
      </c>
      <c r="C9" s="13" t="s">
        <v>62</v>
      </c>
      <c r="D9" s="15" t="n">
        <f aca="false">COUNTIFS('Data AFTER'!$A$2:$A$52,$A9,'Data AFTER'!$B$2:$B$52,$B9)</f>
        <v>2</v>
      </c>
      <c r="E9" s="22" t="n">
        <f aca="false">SUMIFS('Data AFTER'!$F$2:$F$52,'Data AFTER'!$A$2:$A$52,$A9,'Data AFTER'!$B$2:$B$52,$B9)</f>
        <v>1543</v>
      </c>
      <c r="F9" s="16" t="n">
        <f aca="false">E9/SUM('Data AFTER'!$F$2:$F$52)</f>
        <v>0.0628103372056198</v>
      </c>
      <c r="G9" s="14" t="n">
        <f aca="false">SUMIFS('Data AFTER'!$G$2:$G$52,'Data AFTER'!$A$2:$A$52,$A9,'Data AFTER'!$B$2:$B$52,$B9)</f>
        <v>2614678</v>
      </c>
      <c r="H9" s="14" t="n">
        <f aca="false">SUMIFS('Data AFTER'!$H$2:$H$52,'Data AFTER'!$A$2:$A$52,$A9,'Data AFTER'!$B$2:$B$52,$B9)</f>
        <v>3966708</v>
      </c>
      <c r="I9" s="14" t="n">
        <f aca="false">SUMIFS('Data AFTER'!$I$2:$I$52,'Data AFTER'!$A$2:$A$52,$A9,'Data AFTER'!$B$2:$B$52,$B9)</f>
        <v>11510</v>
      </c>
      <c r="J9" s="14" t="n">
        <f aca="false">SUMIFS('Data AFTER'!$J$2:$J$52,'Data AFTER'!$A$2:$A$52,$A9,'Data AFTER'!$B$2:$B$52,$B9)</f>
        <v>550513</v>
      </c>
      <c r="K9" s="17" t="n">
        <f aca="false">IFERROR(H9/G9,"")</f>
        <v>1.51709235324579</v>
      </c>
      <c r="L9" s="18" t="n">
        <f aca="false">IFERROR(E9/H9*1000,"")</f>
        <v>0.388987543323078</v>
      </c>
      <c r="M9" s="23" t="n">
        <f aca="false">IFERROR(I9/H9,"")</f>
        <v>0.00290165043658369</v>
      </c>
      <c r="N9" s="18" t="n">
        <f aca="false">IF(I9&gt;0,E9/I9,"")</f>
        <v>0.134057341442224</v>
      </c>
      <c r="O9" s="16" t="n">
        <f aca="false">IFERROR(J9/H9,"")</f>
        <v>0.138783343770199</v>
      </c>
      <c r="P9" s="21" t="n">
        <f aca="false">IFERROR(E9/J9*1000,"")</f>
        <v>2.80284025990304</v>
      </c>
      <c r="Q9" s="21" t="n">
        <f aca="false">IFERROR(E9/G9*1000,"")</f>
        <v>0.590130027483308</v>
      </c>
    </row>
    <row r="10" customFormat="false" ht="15" hidden="false" customHeight="false" outlineLevel="0" collapsed="false">
      <c r="A10" s="3" t="s">
        <v>113</v>
      </c>
      <c r="B10" s="13" t="s">
        <v>140</v>
      </c>
      <c r="C10" s="13" t="s">
        <v>62</v>
      </c>
      <c r="D10" s="15" t="n">
        <f aca="false">COUNTIFS('Data AFTER'!$A$2:$A$52,$A10,'Data AFTER'!$B$2:$B$52,$B10)</f>
        <v>3</v>
      </c>
      <c r="E10" s="32" t="n">
        <f aca="false">SUMIFS('Data AFTER'!$F$2:$F$52,'Data AFTER'!$A$2:$A$52,$A10,'Data AFTER'!$B$2:$B$52,$B10)</f>
        <v>1507.38</v>
      </c>
      <c r="F10" s="33" t="n">
        <f aca="false">E10/SUM('Data AFTER'!$F$2:$F$52)</f>
        <v>0.0613603668807564</v>
      </c>
      <c r="G10" s="34" t="n">
        <f aca="false">SUMIFS('Data AFTER'!$G$2:$G$52,'Data AFTER'!$A$2:$A$52,$A10,'Data AFTER'!$B$2:$B$52,$B10)</f>
        <v>4122062</v>
      </c>
      <c r="H10" s="34" t="n">
        <f aca="false">SUMIFS('Data AFTER'!$H$2:$H$52,'Data AFTER'!$A$2:$A$52,$A10,'Data AFTER'!$B$2:$B$52,$B10)</f>
        <v>7112181</v>
      </c>
      <c r="I10" s="34" t="n">
        <f aca="false">SUMIFS('Data AFTER'!$I$2:$I$52,'Data AFTER'!$A$2:$A$52,$A10,'Data AFTER'!$B$2:$B$52,$B10)</f>
        <v>17250</v>
      </c>
      <c r="J10" s="34" t="n">
        <f aca="false">SUMIFS('Data AFTER'!$J$2:$J$52,'Data AFTER'!$A$2:$A$52,$A10,'Data AFTER'!$B$2:$B$52,$B10)</f>
        <v>772328</v>
      </c>
      <c r="K10" s="35" t="n">
        <f aca="false">IFERROR(H10/G10,"")</f>
        <v>1.72539398970709</v>
      </c>
      <c r="L10" s="36" t="n">
        <f aca="false">IFERROR(E10/H10*1000,"")</f>
        <v>0.211943424949393</v>
      </c>
      <c r="M10" s="37" t="n">
        <f aca="false">IFERROR(I10/H10,"")</f>
        <v>0.00242541633853244</v>
      </c>
      <c r="N10" s="36" t="n">
        <f aca="false">IF(I10&gt;0,E10/I10,"")</f>
        <v>0.087384347826087</v>
      </c>
      <c r="O10" s="33" t="n">
        <f aca="false">IFERROR(J10/H10,"")</f>
        <v>0.108592286951077</v>
      </c>
      <c r="P10" s="38" t="n">
        <f aca="false">IFERROR(E10/J10*1000,"")</f>
        <v>1.95173553205374</v>
      </c>
      <c r="Q10" s="38" t="n">
        <f aca="false">IFERROR(E10/G10*1000,"")</f>
        <v>0.365685911565619</v>
      </c>
    </row>
    <row r="11" customFormat="false" ht="15" hidden="false" customHeight="false" outlineLevel="0" collapsed="false">
      <c r="A11" s="3" t="s">
        <v>114</v>
      </c>
      <c r="B11" s="13" t="s">
        <v>141</v>
      </c>
      <c r="C11" s="13" t="s">
        <v>62</v>
      </c>
      <c r="D11" s="15" t="n">
        <f aca="false">COUNTIFS('Data AFTER'!$A$2:$A$52,$A11,'Data AFTER'!$B$2:$B$52,$B11)</f>
        <v>5</v>
      </c>
      <c r="E11" s="22" t="n">
        <f aca="false">SUMIFS('Data AFTER'!$F$2:$F$52,'Data AFTER'!$A$2:$A$52,$A11,'Data AFTER'!$B$2:$B$52,$B11)</f>
        <v>1500</v>
      </c>
      <c r="F11" s="16" t="n">
        <f aca="false">E11/SUM('Data AFTER'!$F$2:$F$52)</f>
        <v>0.0610599519173232</v>
      </c>
      <c r="G11" s="14" t="n">
        <f aca="false">SUMIFS('Data AFTER'!$G$2:$G$52,'Data AFTER'!$A$2:$A$52,$A11,'Data AFTER'!$B$2:$B$52,$B11)</f>
        <v>5272510</v>
      </c>
      <c r="H11" s="14" t="n">
        <f aca="false">SUMIFS('Data AFTER'!$H$2:$H$52,'Data AFTER'!$A$2:$A$52,$A11,'Data AFTER'!$B$2:$B$52,$B11)</f>
        <v>6428153</v>
      </c>
      <c r="I11" s="14" t="n">
        <f aca="false">SUMIFS('Data AFTER'!$I$2:$I$52,'Data AFTER'!$A$2:$A$52,$A11,'Data AFTER'!$B$2:$B$52,$B11)</f>
        <v>8592</v>
      </c>
      <c r="J11" s="14" t="n">
        <f aca="false">SUMIFS('Data AFTER'!$J$2:$J$52,'Data AFTER'!$A$2:$A$52,$A11,'Data AFTER'!$B$2:$B$52,$B11)</f>
        <v>1088767</v>
      </c>
      <c r="K11" s="17" t="n">
        <f aca="false">IFERROR(H11/G11,"")</f>
        <v>1.21918270425281</v>
      </c>
      <c r="L11" s="18" t="n">
        <f aca="false">IFERROR(E11/H11*1000,"")</f>
        <v>0.233348521729337</v>
      </c>
      <c r="M11" s="23" t="n">
        <f aca="false">IFERROR(I11/H11,"")</f>
        <v>0.00133662033246564</v>
      </c>
      <c r="N11" s="18" t="n">
        <f aca="false">IF(I11&gt;0,E11/I11,"")</f>
        <v>0.174581005586592</v>
      </c>
      <c r="O11" s="16" t="n">
        <f aca="false">IFERROR(J11/H11,"")</f>
        <v>0.16937477997179</v>
      </c>
      <c r="P11" s="21" t="n">
        <f aca="false">IFERROR(E11/J11*1000,"")</f>
        <v>1.37770523904564</v>
      </c>
      <c r="Q11" s="21" t="n">
        <f aca="false">IFERROR(E11/G11*1000,"")</f>
        <v>0.284494481755369</v>
      </c>
    </row>
    <row r="12" customFormat="false" ht="15" hidden="false" customHeight="false" outlineLevel="0" collapsed="false">
      <c r="A12" s="3" t="s">
        <v>112</v>
      </c>
      <c r="B12" s="13" t="s">
        <v>142</v>
      </c>
      <c r="C12" s="13" t="s">
        <v>62</v>
      </c>
      <c r="D12" s="15" t="n">
        <f aca="false">COUNTIFS('Data AFTER'!$A$2:$A$52,$A12,'Data AFTER'!$B$2:$B$52,$B12)</f>
        <v>6</v>
      </c>
      <c r="E12" s="32" t="n">
        <f aca="false">SUMIFS('Data AFTER'!$F$2:$F$52,'Data AFTER'!$A$2:$A$52,$A12,'Data AFTER'!$B$2:$B$52,$B12)</f>
        <v>1330.94</v>
      </c>
      <c r="F12" s="33" t="n">
        <f aca="false">E12/SUM('Data AFTER'!$F$2:$F$52)</f>
        <v>0.0541780882698948</v>
      </c>
      <c r="G12" s="34" t="n">
        <f aca="false">SUMIFS('Data AFTER'!$G$2:$G$52,'Data AFTER'!$A$2:$A$52,$A12,'Data AFTER'!$B$2:$B$52,$B12)</f>
        <v>5191599</v>
      </c>
      <c r="H12" s="34" t="n">
        <f aca="false">SUMIFS('Data AFTER'!$H$2:$H$52,'Data AFTER'!$A$2:$A$52,$A12,'Data AFTER'!$B$2:$B$52,$B12)</f>
        <v>6772901</v>
      </c>
      <c r="I12" s="34" t="n">
        <f aca="false">SUMIFS('Data AFTER'!$I$2:$I$52,'Data AFTER'!$A$2:$A$52,$A12,'Data AFTER'!$B$2:$B$52,$B12)</f>
        <v>12730</v>
      </c>
      <c r="J12" s="34" t="n">
        <f aca="false">SUMIFS('Data AFTER'!$J$2:$J$52,'Data AFTER'!$A$2:$A$52,$A12,'Data AFTER'!$B$2:$B$52,$B12)</f>
        <v>1099710</v>
      </c>
      <c r="K12" s="35" t="n">
        <f aca="false">IFERROR(H12/G12,"")</f>
        <v>1.30458862481482</v>
      </c>
      <c r="L12" s="36" t="n">
        <f aca="false">IFERROR(E12/H12*1000,"")</f>
        <v>0.196509590203666</v>
      </c>
      <c r="M12" s="37" t="n">
        <f aca="false">IFERROR(I12/H12,"")</f>
        <v>0.00187954910310958</v>
      </c>
      <c r="N12" s="36" t="n">
        <f aca="false">IF(I12&gt;0,E12/I12,"")</f>
        <v>0.104551453260016</v>
      </c>
      <c r="O12" s="33" t="n">
        <f aca="false">IFERROR(J12/H12,"")</f>
        <v>0.162369123659123</v>
      </c>
      <c r="P12" s="38" t="n">
        <f aca="false">IFERROR(E12/J12*1000,"")</f>
        <v>1.21026452428367</v>
      </c>
      <c r="Q12" s="38" t="n">
        <f aca="false">IFERROR(E12/G12*1000,"")</f>
        <v>0.256364176046725</v>
      </c>
    </row>
    <row r="13" customFormat="false" ht="15" hidden="false" customHeight="false" outlineLevel="0" collapsed="false">
      <c r="A13" s="3" t="s">
        <v>116</v>
      </c>
      <c r="B13" s="13" t="s">
        <v>116</v>
      </c>
      <c r="C13" s="13" t="s">
        <v>62</v>
      </c>
      <c r="D13" s="15" t="n">
        <f aca="false">COUNTIFS('Data AFTER'!$A$2:$A$52,$A13,'Data AFTER'!$B$2:$B$52,$B13)</f>
        <v>1</v>
      </c>
      <c r="E13" s="22" t="n">
        <f aca="false">SUMIFS('Data AFTER'!$F$2:$F$52,'Data AFTER'!$A$2:$A$52,$A13,'Data AFTER'!$B$2:$B$52,$B13)</f>
        <v>852</v>
      </c>
      <c r="F13" s="16" t="n">
        <f aca="false">E13/SUM('Data AFTER'!$F$2:$F$52)</f>
        <v>0.0346820526890396</v>
      </c>
      <c r="G13" s="14" t="n">
        <f aca="false">SUMIFS('Data AFTER'!$G$2:$G$52,'Data AFTER'!$A$2:$A$52,$A13,'Data AFTER'!$B$2:$B$52,$B13)</f>
        <v>2503983</v>
      </c>
      <c r="H13" s="14" t="n">
        <f aca="false">SUMIFS('Data AFTER'!$H$2:$H$52,'Data AFTER'!$A$2:$A$52,$A13,'Data AFTER'!$B$2:$B$52,$B13)</f>
        <v>4583157</v>
      </c>
      <c r="I13" s="14" t="n">
        <f aca="false">SUMIFS('Data AFTER'!$I$2:$I$52,'Data AFTER'!$A$2:$A$52,$A13,'Data AFTER'!$B$2:$B$52,$B13)</f>
        <v>10719</v>
      </c>
      <c r="J13" s="14" t="n">
        <f aca="false">SUMIFS('Data AFTER'!$J$2:$J$52,'Data AFTER'!$A$2:$A$52,$A13,'Data AFTER'!$B$2:$B$52,$B13)</f>
        <v>1398142</v>
      </c>
      <c r="K13" s="17" t="n">
        <f aca="false">IFERROR(H13/G13,"")</f>
        <v>1.83034669165086</v>
      </c>
      <c r="L13" s="18" t="n">
        <f aca="false">IFERROR(E13/H13*1000,"")</f>
        <v>0.185898061096314</v>
      </c>
      <c r="M13" s="23" t="n">
        <f aca="false">IFERROR(I13/H13,"")</f>
        <v>0.00233878088837018</v>
      </c>
      <c r="N13" s="18" t="n">
        <f aca="false">IF(I13&gt;0,E13/I13,"")</f>
        <v>0.0794850265883011</v>
      </c>
      <c r="O13" s="16" t="n">
        <f aca="false">IFERROR(J13/H13,"")</f>
        <v>0.305060900161177</v>
      </c>
      <c r="P13" s="21" t="n">
        <f aca="false">IFERROR(E13/J13*1000,"")</f>
        <v>0.609380163102174</v>
      </c>
      <c r="Q13" s="21" t="n">
        <f aca="false">IFERROR(E13/G13*1000,"")</f>
        <v>0.340257901111949</v>
      </c>
    </row>
    <row r="14" customFormat="false" ht="15" hidden="false" customHeight="false" outlineLevel="0" collapsed="false">
      <c r="A14" s="3" t="s">
        <v>117</v>
      </c>
      <c r="B14" s="13" t="s">
        <v>143</v>
      </c>
      <c r="C14" s="13" t="s">
        <v>62</v>
      </c>
      <c r="D14" s="15" t="n">
        <f aca="false">COUNTIFS('Data AFTER'!$A$2:$A$52,$A14,'Data AFTER'!$B$2:$B$52,$B14)</f>
        <v>2</v>
      </c>
      <c r="E14" s="32" t="n">
        <f aca="false">SUMIFS('Data AFTER'!$F$2:$F$52,'Data AFTER'!$A$2:$A$52,$A14,'Data AFTER'!$B$2:$B$52,$B14)</f>
        <v>756.63</v>
      </c>
      <c r="F14" s="33" t="n">
        <f aca="false">E14/SUM('Data AFTER'!$F$2:$F$52)</f>
        <v>0.0307998609461362</v>
      </c>
      <c r="G14" s="34" t="n">
        <f aca="false">SUMIFS('Data AFTER'!$G$2:$G$52,'Data AFTER'!$A$2:$A$52,$A14,'Data AFTER'!$B$2:$B$52,$B14)</f>
        <v>3360139</v>
      </c>
      <c r="H14" s="34" t="n">
        <f aca="false">SUMIFS('Data AFTER'!$H$2:$H$52,'Data AFTER'!$A$2:$A$52,$A14,'Data AFTER'!$B$2:$B$52,$B14)</f>
        <v>3558936</v>
      </c>
      <c r="I14" s="34" t="n">
        <f aca="false">SUMIFS('Data AFTER'!$I$2:$I$52,'Data AFTER'!$A$2:$A$52,$A14,'Data AFTER'!$B$2:$B$52,$B14)</f>
        <v>7548</v>
      </c>
      <c r="J14" s="34" t="n">
        <f aca="false">SUMIFS('Data AFTER'!$J$2:$J$52,'Data AFTER'!$A$2:$A$52,$A14,'Data AFTER'!$B$2:$B$52,$B14)</f>
        <v>522459</v>
      </c>
      <c r="K14" s="35" t="n">
        <f aca="false">IFERROR(H14/G14,"")</f>
        <v>1.05916332627906</v>
      </c>
      <c r="L14" s="36" t="n">
        <f aca="false">IFERROR(E14/H14*1000,"")</f>
        <v>0.212600057994861</v>
      </c>
      <c r="M14" s="37" t="n">
        <f aca="false">IFERROR(I14/H14,"")</f>
        <v>0.00212085859369205</v>
      </c>
      <c r="N14" s="36" t="n">
        <f aca="false">IF(I14&gt;0,E14/I14,"")</f>
        <v>0.100242448330684</v>
      </c>
      <c r="O14" s="33" t="n">
        <f aca="false">IFERROR(J14/H14,"")</f>
        <v>0.146802021727842</v>
      </c>
      <c r="P14" s="38" t="n">
        <f aca="false">IFERROR(E14/J14*1000,"")</f>
        <v>1.44820933317256</v>
      </c>
      <c r="Q14" s="38" t="n">
        <f aca="false">IFERROR(E14/G14*1000,"")</f>
        <v>0.225178184592959</v>
      </c>
    </row>
    <row r="15" customFormat="false" ht="15" hidden="false" customHeight="false" outlineLevel="0" collapsed="false">
      <c r="A15" s="3" t="s">
        <v>118</v>
      </c>
      <c r="B15" s="13" t="s">
        <v>144</v>
      </c>
      <c r="C15" s="13" t="s">
        <v>67</v>
      </c>
      <c r="D15" s="15" t="n">
        <f aca="false">COUNTIFS('Data AFTER'!$A$2:$A$52,$A15,'Data AFTER'!$B$2:$B$52,$B15)</f>
        <v>1</v>
      </c>
      <c r="E15" s="22" t="n">
        <f aca="false">SUMIFS('Data AFTER'!$F$2:$F$52,'Data AFTER'!$A$2:$A$52,$A15,'Data AFTER'!$B$2:$B$52,$B15)</f>
        <v>621.95</v>
      </c>
      <c r="F15" s="16" t="n">
        <f aca="false">E15/SUM('Data AFTER'!$F$2:$F$52)</f>
        <v>0.0253174913966528</v>
      </c>
      <c r="G15" s="14" t="n">
        <f aca="false">SUMIFS('Data AFTER'!$G$2:$G$52,'Data AFTER'!$A$2:$A$52,$A15,'Data AFTER'!$B$2:$B$52,$B15)</f>
        <v>1107096</v>
      </c>
      <c r="H15" s="14" t="n">
        <f aca="false">SUMIFS('Data AFTER'!$H$2:$H$52,'Data AFTER'!$A$2:$A$52,$A15,'Data AFTER'!$B$2:$B$52,$B15)</f>
        <v>2259715</v>
      </c>
      <c r="I15" s="14" t="n">
        <f aca="false">SUMIFS('Data AFTER'!$I$2:$I$52,'Data AFTER'!$A$2:$A$52,$A15,'Data AFTER'!$B$2:$B$52,$B15)</f>
        <v>1</v>
      </c>
      <c r="J15" s="14" t="n">
        <f aca="false">SUMIFS('Data AFTER'!$J$2:$J$52,'Data AFTER'!$A$2:$A$52,$A15,'Data AFTER'!$B$2:$B$52,$B15)</f>
        <v>776955</v>
      </c>
      <c r="K15" s="17" t="n">
        <f aca="false">IFERROR(H15/G15,"")</f>
        <v>2.04111928866151</v>
      </c>
      <c r="L15" s="18" t="n">
        <f aca="false">IFERROR(E15/H15*1000,"")</f>
        <v>0.275233823734409</v>
      </c>
      <c r="M15" s="23" t="n">
        <f aca="false">IFERROR(I15/H15,"")</f>
        <v>4.42533682344897E-007</v>
      </c>
      <c r="N15" s="18" t="n">
        <f aca="false">IF(I15&gt;0,E15/I15,"")</f>
        <v>621.95</v>
      </c>
      <c r="O15" s="16" t="n">
        <f aca="false">IFERROR(J15/H15,"")</f>
        <v>0.34382875716628</v>
      </c>
      <c r="P15" s="21" t="n">
        <f aca="false">IFERROR(E15/J15*1000,"")</f>
        <v>0.800496811269636</v>
      </c>
      <c r="Q15" s="21" t="n">
        <f aca="false">IFERROR(E15/G15*1000,"")</f>
        <v>0.561785066516364</v>
      </c>
    </row>
    <row r="16" customFormat="false" ht="15" hidden="false" customHeight="false" outlineLevel="0" collapsed="false">
      <c r="A16" s="3" t="s">
        <v>119</v>
      </c>
      <c r="B16" s="13" t="s">
        <v>145</v>
      </c>
      <c r="C16" s="13" t="s">
        <v>62</v>
      </c>
      <c r="D16" s="15" t="n">
        <f aca="false">COUNTIFS('Data AFTER'!$A$2:$A$52,$A16,'Data AFTER'!$B$2:$B$52,$B16)</f>
        <v>1</v>
      </c>
      <c r="E16" s="32" t="n">
        <f aca="false">SUMIFS('Data AFTER'!$F$2:$F$52,'Data AFTER'!$A$2:$A$52,$A16,'Data AFTER'!$B$2:$B$52,$B16)</f>
        <v>602</v>
      </c>
      <c r="F16" s="33" t="n">
        <f aca="false">E16/SUM('Data AFTER'!$F$2:$F$52)</f>
        <v>0.0245053940361524</v>
      </c>
      <c r="G16" s="34" t="n">
        <f aca="false">SUMIFS('Data AFTER'!$G$2:$G$52,'Data AFTER'!$A$2:$A$52,$A16,'Data AFTER'!$B$2:$B$52,$B16)</f>
        <v>1945861</v>
      </c>
      <c r="H16" s="34" t="n">
        <f aca="false">SUMIFS('Data AFTER'!$H$2:$H$52,'Data AFTER'!$A$2:$A$52,$A16,'Data AFTER'!$B$2:$B$52,$B16)</f>
        <v>2151425</v>
      </c>
      <c r="I16" s="34" t="n">
        <f aca="false">SUMIFS('Data AFTER'!$I$2:$I$52,'Data AFTER'!$A$2:$A$52,$A16,'Data AFTER'!$B$2:$B$52,$B16)</f>
        <v>6548</v>
      </c>
      <c r="J16" s="34" t="n">
        <f aca="false">SUMIFS('Data AFTER'!$J$2:$J$52,'Data AFTER'!$A$2:$A$52,$A16,'Data AFTER'!$B$2:$B$52,$B16)</f>
        <v>996687</v>
      </c>
      <c r="K16" s="35" t="n">
        <f aca="false">IFERROR(H16/G16,"")</f>
        <v>1.10564166710777</v>
      </c>
      <c r="L16" s="36" t="n">
        <f aca="false">IFERROR(E16/H16*1000,"")</f>
        <v>0.279814541524803</v>
      </c>
      <c r="M16" s="37" t="n">
        <f aca="false">IFERROR(I16/H16,"")</f>
        <v>0.00304356414934288</v>
      </c>
      <c r="N16" s="36" t="n">
        <f aca="false">IF(I16&gt;0,E16/I16,"")</f>
        <v>0.0919364691508858</v>
      </c>
      <c r="O16" s="33" t="n">
        <f aca="false">IFERROR(J16/H16,"")</f>
        <v>0.463268298918159</v>
      </c>
      <c r="P16" s="38" t="n">
        <f aca="false">IFERROR(E16/J16*1000,"")</f>
        <v>0.604001055496861</v>
      </c>
      <c r="Q16" s="38" t="n">
        <f aca="false">IFERROR(E16/G16*1000,"")</f>
        <v>0.309374616172481</v>
      </c>
    </row>
    <row r="17" customFormat="false" ht="15" hidden="false" customHeight="false" outlineLevel="0" collapsed="false">
      <c r="A17" s="3" t="s">
        <v>115</v>
      </c>
      <c r="B17" s="13" t="s">
        <v>146</v>
      </c>
      <c r="C17" s="13" t="s">
        <v>65</v>
      </c>
      <c r="D17" s="15" t="n">
        <f aca="false">COUNTIFS('Data AFTER'!$A$2:$A$52,$A17,'Data AFTER'!$B$2:$B$52,$B17)</f>
        <v>1</v>
      </c>
      <c r="E17" s="22" t="n">
        <f aca="false">SUMIFS('Data AFTER'!$F$2:$F$52,'Data AFTER'!$A$2:$A$52,$A17,'Data AFTER'!$B$2:$B$52,$B17)</f>
        <v>581.5</v>
      </c>
      <c r="F17" s="16" t="n">
        <f aca="false">E17/SUM('Data AFTER'!$F$2:$F$52)</f>
        <v>0.0236709080266156</v>
      </c>
      <c r="G17" s="14" t="n">
        <f aca="false">SUMIFS('Data AFTER'!$G$2:$G$52,'Data AFTER'!$A$2:$A$52,$A17,'Data AFTER'!$B$2:$B$52,$B17)</f>
        <v>1542432</v>
      </c>
      <c r="H17" s="14" t="n">
        <f aca="false">SUMIFS('Data AFTER'!$H$2:$H$52,'Data AFTER'!$A$2:$A$52,$A17,'Data AFTER'!$B$2:$B$52,$B17)</f>
        <v>1746015</v>
      </c>
      <c r="I17" s="14" t="n">
        <f aca="false">SUMIFS('Data AFTER'!$I$2:$I$52,'Data AFTER'!$A$2:$A$52,$A17,'Data AFTER'!$B$2:$B$52,$B17)</f>
        <v>4521</v>
      </c>
      <c r="J17" s="14" t="n">
        <f aca="false">SUMIFS('Data AFTER'!$J$2:$J$52,'Data AFTER'!$A$2:$A$52,$A17,'Data AFTER'!$B$2:$B$52,$B17)</f>
        <v>458080</v>
      </c>
      <c r="K17" s="17" t="n">
        <f aca="false">IFERROR(H17/G17,"")</f>
        <v>1.13198831455779</v>
      </c>
      <c r="L17" s="18" t="n">
        <f aca="false">IFERROR(E17/H17*1000,"")</f>
        <v>0.333044103286627</v>
      </c>
      <c r="M17" s="23" t="n">
        <f aca="false">IFERROR(I17/H17,"")</f>
        <v>0.00258932483397909</v>
      </c>
      <c r="N17" s="18" t="n">
        <f aca="false">IF(I17&gt;0,E17/I17,"")</f>
        <v>0.12862198628622</v>
      </c>
      <c r="O17" s="16" t="n">
        <f aca="false">IFERROR(J17/H17,"")</f>
        <v>0.262357425337125</v>
      </c>
      <c r="P17" s="21" t="n">
        <f aca="false">IFERROR(E17/J17*1000,"")</f>
        <v>1.26942892071254</v>
      </c>
      <c r="Q17" s="21" t="n">
        <f aca="false">IFERROR(E17/G17*1000,"")</f>
        <v>0.377002033152839</v>
      </c>
    </row>
    <row r="18" customFormat="false" ht="15" hidden="false" customHeight="false" outlineLevel="0" collapsed="false">
      <c r="A18" s="3" t="s">
        <v>120</v>
      </c>
      <c r="B18" s="13" t="s">
        <v>147</v>
      </c>
      <c r="C18" s="13" t="s">
        <v>65</v>
      </c>
      <c r="D18" s="15" t="n">
        <f aca="false">COUNTIFS('Data AFTER'!$A$2:$A$52,$A18,'Data AFTER'!$B$2:$B$52,$B18)</f>
        <v>1</v>
      </c>
      <c r="E18" s="32" t="n">
        <f aca="false">SUMIFS('Data AFTER'!$F$2:$F$52,'Data AFTER'!$A$2:$A$52,$A18,'Data AFTER'!$B$2:$B$52,$B18)</f>
        <v>574.57</v>
      </c>
      <c r="F18" s="33" t="n">
        <f aca="false">E18/SUM('Data AFTER'!$F$2:$F$52)</f>
        <v>0.0233888110487576</v>
      </c>
      <c r="G18" s="34" t="n">
        <f aca="false">SUMIFS('Data AFTER'!$G$2:$G$52,'Data AFTER'!$A$2:$A$52,$A18,'Data AFTER'!$B$2:$B$52,$B18)</f>
        <v>945879</v>
      </c>
      <c r="H18" s="34" t="n">
        <f aca="false">SUMIFS('Data AFTER'!$H$2:$H$52,'Data AFTER'!$A$2:$A$52,$A18,'Data AFTER'!$B$2:$B$52,$B18)</f>
        <v>1869860</v>
      </c>
      <c r="I18" s="34" t="n">
        <f aca="false">SUMIFS('Data AFTER'!$I$2:$I$52,'Data AFTER'!$A$2:$A$52,$A18,'Data AFTER'!$B$2:$B$52,$B18)</f>
        <v>0</v>
      </c>
      <c r="J18" s="34" t="n">
        <f aca="false">SUMIFS('Data AFTER'!$J$2:$J$52,'Data AFTER'!$A$2:$A$52,$A18,'Data AFTER'!$B$2:$B$52,$B18)</f>
        <v>968724</v>
      </c>
      <c r="K18" s="35" t="n">
        <f aca="false">IFERROR(H18/G18,"")</f>
        <v>1.97684904728829</v>
      </c>
      <c r="L18" s="36" t="n">
        <f aca="false">IFERROR(E18/H18*1000,"")</f>
        <v>0.30727968938851</v>
      </c>
      <c r="M18" s="37" t="n">
        <f aca="false">IFERROR(I18/H18,"")</f>
        <v>0</v>
      </c>
      <c r="N18" s="36" t="str">
        <f aca="false">IF(I18&gt;0,E18/I18,"")</f>
        <v/>
      </c>
      <c r="O18" s="33" t="n">
        <f aca="false">IFERROR(J18/H18,"")</f>
        <v>0.518073010813644</v>
      </c>
      <c r="P18" s="38" t="n">
        <f aca="false">IFERROR(E18/J18*1000,"")</f>
        <v>0.593120434716184</v>
      </c>
      <c r="Q18" s="38" t="n">
        <f aca="false">IFERROR(E18/G18*1000,"")</f>
        <v>0.607445561218718</v>
      </c>
    </row>
    <row r="19" customFormat="false" ht="15" hidden="false" customHeight="false" outlineLevel="0" collapsed="false">
      <c r="A19" s="3" t="s">
        <v>115</v>
      </c>
      <c r="B19" s="13" t="s">
        <v>148</v>
      </c>
      <c r="C19" s="13" t="s">
        <v>65</v>
      </c>
      <c r="D19" s="15" t="n">
        <f aca="false">COUNTIFS('Data AFTER'!$A$2:$A$52,$A19,'Data AFTER'!$B$2:$B$52,$B19)</f>
        <v>1</v>
      </c>
      <c r="E19" s="22" t="n">
        <f aca="false">SUMIFS('Data AFTER'!$F$2:$F$52,'Data AFTER'!$A$2:$A$52,$A19,'Data AFTER'!$B$2:$B$52,$B19)</f>
        <v>482</v>
      </c>
      <c r="F19" s="16" t="n">
        <f aca="false">E19/SUM('Data AFTER'!$F$2:$F$52)</f>
        <v>0.0196205978827665</v>
      </c>
      <c r="G19" s="14" t="n">
        <f aca="false">SUMIFS('Data AFTER'!$G$2:$G$52,'Data AFTER'!$A$2:$A$52,$A19,'Data AFTER'!$B$2:$B$52,$B19)</f>
        <v>1494028</v>
      </c>
      <c r="H19" s="14" t="n">
        <f aca="false">SUMIFS('Data AFTER'!$H$2:$H$52,'Data AFTER'!$A$2:$A$52,$A19,'Data AFTER'!$B$2:$B$52,$B19)</f>
        <v>1741231</v>
      </c>
      <c r="I19" s="14" t="n">
        <f aca="false">SUMIFS('Data AFTER'!$I$2:$I$52,'Data AFTER'!$A$2:$A$52,$A19,'Data AFTER'!$B$2:$B$52,$B19)</f>
        <v>5526</v>
      </c>
      <c r="J19" s="14" t="n">
        <f aca="false">SUMIFS('Data AFTER'!$J$2:$J$52,'Data AFTER'!$A$2:$A$52,$A19,'Data AFTER'!$B$2:$B$52,$B19)</f>
        <v>931363</v>
      </c>
      <c r="K19" s="17" t="n">
        <f aca="false">IFERROR(H19/G19,"")</f>
        <v>1.16546075441692</v>
      </c>
      <c r="L19" s="18" t="n">
        <f aca="false">IFERROR(E19/H19*1000,"")</f>
        <v>0.276815655131341</v>
      </c>
      <c r="M19" s="23" t="n">
        <f aca="false">IFERROR(I19/H19,"")</f>
        <v>0.00317361682625683</v>
      </c>
      <c r="N19" s="18" t="n">
        <f aca="false">IF(I19&gt;0,E19/I19,"")</f>
        <v>0.087224031849439</v>
      </c>
      <c r="O19" s="16" t="n">
        <f aca="false">IFERROR(J19/H19,"")</f>
        <v>0.534887674294795</v>
      </c>
      <c r="P19" s="21" t="n">
        <f aca="false">IFERROR(E19/J19*1000,"")</f>
        <v>0.51752109542681</v>
      </c>
      <c r="Q19" s="21" t="n">
        <f aca="false">IFERROR(E19/G19*1000,"")</f>
        <v>0.322617782263786</v>
      </c>
    </row>
    <row r="20" customFormat="false" ht="15" hidden="false" customHeight="false" outlineLevel="0" collapsed="false">
      <c r="A20" s="3" t="s">
        <v>121</v>
      </c>
      <c r="B20" s="13" t="s">
        <v>147</v>
      </c>
      <c r="C20" s="13" t="s">
        <v>65</v>
      </c>
      <c r="D20" s="15" t="n">
        <f aca="false">COUNTIFS('Data AFTER'!$A$2:$A$52,$A20,'Data AFTER'!$B$2:$B$52,$B20)</f>
        <v>1</v>
      </c>
      <c r="E20" s="32" t="n">
        <f aca="false">SUMIFS('Data AFTER'!$F$2:$F$52,'Data AFTER'!$A$2:$A$52,$A20,'Data AFTER'!$B$2:$B$52,$B20)</f>
        <v>477.21</v>
      </c>
      <c r="F20" s="33" t="n">
        <f aca="false">E20/SUM('Data AFTER'!$F$2:$F$52)</f>
        <v>0.0194256131029772</v>
      </c>
      <c r="G20" s="34" t="n">
        <f aca="false">SUMIFS('Data AFTER'!$G$2:$G$52,'Data AFTER'!$A$2:$A$52,$A20,'Data AFTER'!$B$2:$B$52,$B20)</f>
        <v>965189</v>
      </c>
      <c r="H20" s="34" t="n">
        <f aca="false">SUMIFS('Data AFTER'!$H$2:$H$52,'Data AFTER'!$A$2:$A$52,$A20,'Data AFTER'!$B$2:$B$52,$B20)</f>
        <v>1272704</v>
      </c>
      <c r="I20" s="34" t="n">
        <f aca="false">SUMIFS('Data AFTER'!$I$2:$I$52,'Data AFTER'!$A$2:$A$52,$A20,'Data AFTER'!$B$2:$B$52,$B20)</f>
        <v>3</v>
      </c>
      <c r="J20" s="34" t="n">
        <f aca="false">SUMIFS('Data AFTER'!$J$2:$J$52,'Data AFTER'!$A$2:$A$52,$A20,'Data AFTER'!$B$2:$B$52,$B20)</f>
        <v>346239</v>
      </c>
      <c r="K20" s="35" t="n">
        <f aca="false">IFERROR(H20/G20,"")</f>
        <v>1.31860599323034</v>
      </c>
      <c r="L20" s="36" t="n">
        <f aca="false">IFERROR(E20/H20*1000,"")</f>
        <v>0.374957570652721</v>
      </c>
      <c r="M20" s="37" t="n">
        <f aca="false">IFERROR(I20/H20,"")</f>
        <v>2.35718595997184E-006</v>
      </c>
      <c r="N20" s="36" t="n">
        <f aca="false">IF(I20&gt;0,E20/I20,"")</f>
        <v>159.07</v>
      </c>
      <c r="O20" s="33" t="n">
        <f aca="false">IFERROR(J20/H20,"")</f>
        <v>0.27204990319823</v>
      </c>
      <c r="P20" s="38" t="n">
        <f aca="false">IFERROR(E20/J20*1000,"")</f>
        <v>1.37826761283391</v>
      </c>
      <c r="Q20" s="38" t="n">
        <f aca="false">IFERROR(E20/G20*1000,"")</f>
        <v>0.494421299869766</v>
      </c>
    </row>
    <row r="21" customFormat="false" ht="15" hidden="false" customHeight="false" outlineLevel="0" collapsed="false">
      <c r="A21" s="3" t="s">
        <v>122</v>
      </c>
      <c r="B21" s="13" t="s">
        <v>145</v>
      </c>
      <c r="C21" s="13" t="s">
        <v>62</v>
      </c>
      <c r="D21" s="15" t="n">
        <f aca="false">COUNTIFS('Data AFTER'!$A$2:$A$52,$A21,'Data AFTER'!$B$2:$B$52,$B21)</f>
        <v>1</v>
      </c>
      <c r="E21" s="22" t="n">
        <f aca="false">SUMIFS('Data AFTER'!$F$2:$F$52,'Data AFTER'!$A$2:$A$52,$A21,'Data AFTER'!$B$2:$B$52,$B21)</f>
        <v>462</v>
      </c>
      <c r="F21" s="16" t="n">
        <f aca="false">E21/SUM('Data AFTER'!$F$2:$F$52)</f>
        <v>0.0188064651905355</v>
      </c>
      <c r="G21" s="14" t="n">
        <f aca="false">SUMIFS('Data AFTER'!$G$2:$G$52,'Data AFTER'!$A$2:$A$52,$A21,'Data AFTER'!$B$2:$B$52,$B21)</f>
        <v>590811</v>
      </c>
      <c r="H21" s="14" t="n">
        <f aca="false">SUMIFS('Data AFTER'!$H$2:$H$52,'Data AFTER'!$A$2:$A$52,$A21,'Data AFTER'!$B$2:$B$52,$B21)</f>
        <v>915175</v>
      </c>
      <c r="I21" s="14" t="n">
        <f aca="false">SUMIFS('Data AFTER'!$I$2:$I$52,'Data AFTER'!$A$2:$A$52,$A21,'Data AFTER'!$B$2:$B$52,$B21)</f>
        <v>3386</v>
      </c>
      <c r="J21" s="14" t="n">
        <f aca="false">SUMIFS('Data AFTER'!$J$2:$J$52,'Data AFTER'!$A$2:$A$52,$A21,'Data AFTER'!$B$2:$B$52,$B21)</f>
        <v>286309</v>
      </c>
      <c r="K21" s="17" t="n">
        <f aca="false">IFERROR(H21/G21,"")</f>
        <v>1.54901482876927</v>
      </c>
      <c r="L21" s="18" t="n">
        <f aca="false">IFERROR(E21/H21*1000,"")</f>
        <v>0.504821482230175</v>
      </c>
      <c r="M21" s="23" t="n">
        <f aca="false">IFERROR(I21/H21,"")</f>
        <v>0.00369983882863933</v>
      </c>
      <c r="N21" s="18" t="n">
        <f aca="false">IF(I21&gt;0,E21/I21,"")</f>
        <v>0.136444181925576</v>
      </c>
      <c r="O21" s="16" t="n">
        <f aca="false">IFERROR(J21/H21,"")</f>
        <v>0.312846176960691</v>
      </c>
      <c r="P21" s="21" t="n">
        <f aca="false">IFERROR(E21/J21*1000,"")</f>
        <v>1.61364120583006</v>
      </c>
      <c r="Q21" s="21" t="n">
        <f aca="false">IFERROR(E21/G21*1000,"")</f>
        <v>0.781975961855822</v>
      </c>
    </row>
    <row r="22" customFormat="false" ht="15" hidden="false" customHeight="false" outlineLevel="0" collapsed="false">
      <c r="A22" s="3" t="s">
        <v>112</v>
      </c>
      <c r="B22" s="13" t="s">
        <v>149</v>
      </c>
      <c r="C22" s="13" t="s">
        <v>62</v>
      </c>
      <c r="D22" s="15" t="n">
        <f aca="false">COUNTIFS('Data AFTER'!$A$2:$A$52,$A22,'Data AFTER'!$B$2:$B$52,$B22)</f>
        <v>3</v>
      </c>
      <c r="E22" s="32" t="n">
        <f aca="false">SUMIFS('Data AFTER'!$F$2:$F$52,'Data AFTER'!$A$2:$A$52,$A22,'Data AFTER'!$B$2:$B$52,$B22)</f>
        <v>447.55</v>
      </c>
      <c r="F22" s="33" t="n">
        <f aca="false">E22/SUM('Data AFTER'!$F$2:$F$52)</f>
        <v>0.0182182543203987</v>
      </c>
      <c r="G22" s="34" t="n">
        <f aca="false">SUMIFS('Data AFTER'!$G$2:$G$52,'Data AFTER'!$A$2:$A$52,$A22,'Data AFTER'!$B$2:$B$52,$B22)</f>
        <v>1386110</v>
      </c>
      <c r="H22" s="34" t="n">
        <f aca="false">SUMIFS('Data AFTER'!$H$2:$H$52,'Data AFTER'!$A$2:$A$52,$A22,'Data AFTER'!$B$2:$B$52,$B22)</f>
        <v>2092137</v>
      </c>
      <c r="I22" s="34" t="n">
        <f aca="false">SUMIFS('Data AFTER'!$I$2:$I$52,'Data AFTER'!$A$2:$A$52,$A22,'Data AFTER'!$B$2:$B$52,$B22)</f>
        <v>5987</v>
      </c>
      <c r="J22" s="34" t="n">
        <f aca="false">SUMIFS('Data AFTER'!$J$2:$J$52,'Data AFTER'!$A$2:$A$52,$A22,'Data AFTER'!$B$2:$B$52,$B22)</f>
        <v>245226</v>
      </c>
      <c r="K22" s="35" t="n">
        <f aca="false">IFERROR(H22/G22,"")</f>
        <v>1.50935856461608</v>
      </c>
      <c r="L22" s="36" t="n">
        <f aca="false">IFERROR(E22/H22*1000,"")</f>
        <v>0.21392002531383</v>
      </c>
      <c r="M22" s="37" t="n">
        <f aca="false">IFERROR(I22/H22,"")</f>
        <v>0.00286166728087119</v>
      </c>
      <c r="N22" s="36" t="n">
        <f aca="false">IF(I22&gt;0,E22/I22,"")</f>
        <v>0.074753632871221</v>
      </c>
      <c r="O22" s="33" t="n">
        <f aca="false">IFERROR(J22/H22,"")</f>
        <v>0.117213165294625</v>
      </c>
      <c r="P22" s="38" t="n">
        <f aca="false">IFERROR(E22/J22*1000,"")</f>
        <v>1.82505117728137</v>
      </c>
      <c r="Q22" s="38" t="n">
        <f aca="false">IFERROR(E22/G22*1000,"")</f>
        <v>0.322882022350319</v>
      </c>
    </row>
    <row r="23" customFormat="false" ht="15" hidden="false" customHeight="false" outlineLevel="0" collapsed="false">
      <c r="A23" s="3" t="s">
        <v>123</v>
      </c>
      <c r="B23" s="13" t="s">
        <v>150</v>
      </c>
      <c r="C23" s="13" t="s">
        <v>62</v>
      </c>
      <c r="D23" s="15" t="n">
        <f aca="false">COUNTIFS('Data AFTER'!$A$2:$A$52,$A23,'Data AFTER'!$B$2:$B$52,$B23)</f>
        <v>1</v>
      </c>
      <c r="E23" s="22" t="n">
        <f aca="false">SUMIFS('Data AFTER'!$F$2:$F$52,'Data AFTER'!$A$2:$A$52,$A23,'Data AFTER'!$B$2:$B$52,$B23)</f>
        <v>431.42</v>
      </c>
      <c r="F23" s="16" t="n">
        <f aca="false">E23/SUM('Data AFTER'!$F$2:$F$52)</f>
        <v>0.0175616563041144</v>
      </c>
      <c r="G23" s="14" t="n">
        <f aca="false">SUMIFS('Data AFTER'!$G$2:$G$52,'Data AFTER'!$A$2:$A$52,$A23,'Data AFTER'!$B$2:$B$52,$B23)</f>
        <v>2154806</v>
      </c>
      <c r="H23" s="14" t="n">
        <f aca="false">SUMIFS('Data AFTER'!$H$2:$H$52,'Data AFTER'!$A$2:$A$52,$A23,'Data AFTER'!$B$2:$B$52,$B23)</f>
        <v>2285573</v>
      </c>
      <c r="I23" s="14" t="n">
        <f aca="false">SUMIFS('Data AFTER'!$I$2:$I$52,'Data AFTER'!$A$2:$A$52,$A23,'Data AFTER'!$B$2:$B$52,$B23)</f>
        <v>5039</v>
      </c>
      <c r="J23" s="14" t="n">
        <f aca="false">SUMIFS('Data AFTER'!$J$2:$J$52,'Data AFTER'!$A$2:$A$52,$A23,'Data AFTER'!$B$2:$B$52,$B23)</f>
        <v>227241</v>
      </c>
      <c r="K23" s="17" t="n">
        <f aca="false">IFERROR(H23/G23,"")</f>
        <v>1.06068620562594</v>
      </c>
      <c r="L23" s="18" t="n">
        <f aca="false">IFERROR(E23/H23*1000,"")</f>
        <v>0.188757917598782</v>
      </c>
      <c r="M23" s="23" t="n">
        <f aca="false">IFERROR(I23/H23,"")</f>
        <v>0.00220469877794321</v>
      </c>
      <c r="N23" s="18" t="n">
        <f aca="false">IF(I23&gt;0,E23/I23,"")</f>
        <v>0.0856161936892241</v>
      </c>
      <c r="O23" s="16" t="n">
        <f aca="false">IFERROR(J23/H23,"")</f>
        <v>0.0994240831511398</v>
      </c>
      <c r="P23" s="21" t="n">
        <f aca="false">IFERROR(E23/J23*1000,"")</f>
        <v>1.89851303241933</v>
      </c>
      <c r="Q23" s="21" t="n">
        <f aca="false">IFERROR(E23/G23*1000,"")</f>
        <v>0.200212919399705</v>
      </c>
    </row>
    <row r="24" customFormat="false" ht="15" hidden="false" customHeight="false" outlineLevel="0" collapsed="false">
      <c r="A24" s="3" t="s">
        <v>111</v>
      </c>
      <c r="B24" s="13" t="s">
        <v>151</v>
      </c>
      <c r="C24" s="13" t="s">
        <v>62</v>
      </c>
      <c r="D24" s="15" t="n">
        <f aca="false">COUNTIFS('Data AFTER'!$A$2:$A$52,$A24,'Data AFTER'!$B$2:$B$52,$B24)</f>
        <v>1</v>
      </c>
      <c r="E24" s="32" t="n">
        <f aca="false">SUMIFS('Data AFTER'!$F$2:$F$52,'Data AFTER'!$A$2:$A$52,$A24,'Data AFTER'!$B$2:$B$52,$B24)</f>
        <v>249.55</v>
      </c>
      <c r="F24" s="33" t="n">
        <f aca="false">E24/SUM('Data AFTER'!$F$2:$F$52)</f>
        <v>0.010158340667312</v>
      </c>
      <c r="G24" s="34" t="n">
        <f aca="false">SUMIFS('Data AFTER'!$G$2:$G$52,'Data AFTER'!$A$2:$A$52,$A24,'Data AFTER'!$B$2:$B$52,$B24)</f>
        <v>452448</v>
      </c>
      <c r="H24" s="34" t="n">
        <f aca="false">SUMIFS('Data AFTER'!$H$2:$H$52,'Data AFTER'!$A$2:$A$52,$A24,'Data AFTER'!$B$2:$B$52,$B24)</f>
        <v>598538</v>
      </c>
      <c r="I24" s="34" t="n">
        <f aca="false">SUMIFS('Data AFTER'!$I$2:$I$52,'Data AFTER'!$A$2:$A$52,$A24,'Data AFTER'!$B$2:$B$52,$B24)</f>
        <v>2571</v>
      </c>
      <c r="J24" s="34" t="n">
        <f aca="false">SUMIFS('Data AFTER'!$J$2:$J$52,'Data AFTER'!$A$2:$A$52,$A24,'Data AFTER'!$B$2:$B$52,$B24)</f>
        <v>69011</v>
      </c>
      <c r="K24" s="35" t="n">
        <f aca="false">IFERROR(H24/G24,"")</f>
        <v>1.32288793408303</v>
      </c>
      <c r="L24" s="36" t="n">
        <f aca="false">IFERROR(E24/H24*1000,"")</f>
        <v>0.416932592416856</v>
      </c>
      <c r="M24" s="37" t="n">
        <f aca="false">IFERROR(I24/H24,"")</f>
        <v>0.00429546662033154</v>
      </c>
      <c r="N24" s="36" t="n">
        <f aca="false">IF(I24&gt;0,E24/I24,"")</f>
        <v>0.0970633994554648</v>
      </c>
      <c r="O24" s="33" t="n">
        <f aca="false">IFERROR(J24/H24,"")</f>
        <v>0.115299279243757</v>
      </c>
      <c r="P24" s="38" t="n">
        <f aca="false">IFERROR(E24/J24*1000,"")</f>
        <v>3.61609018852067</v>
      </c>
      <c r="Q24" s="38" t="n">
        <f aca="false">IFERROR(E24/G24*1000,"")</f>
        <v>0.551555095834218</v>
      </c>
    </row>
    <row r="25" customFormat="false" ht="15" hidden="false" customHeight="false" outlineLevel="0" collapsed="false">
      <c r="A25" s="3" t="s">
        <v>108</v>
      </c>
      <c r="B25" s="13" t="s">
        <v>152</v>
      </c>
      <c r="C25" s="13" t="s">
        <v>62</v>
      </c>
      <c r="D25" s="15" t="n">
        <f aca="false">COUNTIFS('Data AFTER'!$A$2:$A$52,$A25,'Data AFTER'!$B$2:$B$52,$B25)</f>
        <v>1</v>
      </c>
      <c r="E25" s="22" t="n">
        <f aca="false">SUMIFS('Data AFTER'!$F$2:$F$52,'Data AFTER'!$A$2:$A$52,$A25,'Data AFTER'!$B$2:$B$52,$B25)</f>
        <v>200</v>
      </c>
      <c r="F25" s="16" t="n">
        <f aca="false">E25/SUM('Data AFTER'!$F$2:$F$52)</f>
        <v>0.00814132692230976</v>
      </c>
      <c r="G25" s="14" t="n">
        <f aca="false">SUMIFS('Data AFTER'!$G$2:$G$52,'Data AFTER'!$A$2:$A$52,$A25,'Data AFTER'!$B$2:$B$52,$B25)</f>
        <v>842237</v>
      </c>
      <c r="H25" s="14" t="n">
        <f aca="false">SUMIFS('Data AFTER'!$H$2:$H$52,'Data AFTER'!$A$2:$A$52,$A25,'Data AFTER'!$B$2:$B$52,$B25)</f>
        <v>1021800</v>
      </c>
      <c r="I25" s="14" t="n">
        <f aca="false">SUMIFS('Data AFTER'!$I$2:$I$52,'Data AFTER'!$A$2:$A$52,$A25,'Data AFTER'!$B$2:$B$52,$B25)</f>
        <v>3510</v>
      </c>
      <c r="J25" s="14" t="n">
        <f aca="false">SUMIFS('Data AFTER'!$J$2:$J$52,'Data AFTER'!$A$2:$A$52,$A25,'Data AFTER'!$B$2:$B$52,$B25)</f>
        <v>389201</v>
      </c>
      <c r="K25" s="17" t="n">
        <f aca="false">IFERROR(H25/G25,"")</f>
        <v>1.21319771038318</v>
      </c>
      <c r="L25" s="18" t="n">
        <f aca="false">IFERROR(E25/H25*1000,"")</f>
        <v>0.195733020160501</v>
      </c>
      <c r="M25" s="23" t="n">
        <f aca="false">IFERROR(I25/H25,"")</f>
        <v>0.00343511450381679</v>
      </c>
      <c r="N25" s="18" t="n">
        <f aca="false">IF(I25&gt;0,E25/I25,"")</f>
        <v>0.056980056980057</v>
      </c>
      <c r="O25" s="16" t="n">
        <f aca="false">IFERROR(J25/H25,"")</f>
        <v>0.380897435897436</v>
      </c>
      <c r="P25" s="21" t="n">
        <f aca="false">IFERROR(E25/J25*1000,"")</f>
        <v>0.513873294261834</v>
      </c>
      <c r="Q25" s="21" t="n">
        <f aca="false">IFERROR(E25/G25*1000,"")</f>
        <v>0.237462851905105</v>
      </c>
    </row>
    <row r="26" customFormat="false" ht="15" hidden="false" customHeight="false" outlineLevel="0" collapsed="false">
      <c r="A26" s="3" t="s">
        <v>124</v>
      </c>
      <c r="B26" s="13" t="s">
        <v>153</v>
      </c>
      <c r="C26" s="13" t="s">
        <v>66</v>
      </c>
      <c r="D26" s="15" t="n">
        <f aca="false">COUNTIFS('Data AFTER'!$A$2:$A$52,$A26,'Data AFTER'!$B$2:$B$52,$B26)</f>
        <v>2</v>
      </c>
      <c r="E26" s="32" t="n">
        <f aca="false">SUMIFS('Data AFTER'!$F$2:$F$52,'Data AFTER'!$A$2:$A$52,$A26,'Data AFTER'!$B$2:$B$52,$B26)</f>
        <v>167.47</v>
      </c>
      <c r="F26" s="33" t="n">
        <f aca="false">E26/SUM('Data AFTER'!$F$2:$F$52)</f>
        <v>0.00681714009839608</v>
      </c>
      <c r="G26" s="34" t="n">
        <f aca="false">SUMIFS('Data AFTER'!$G$2:$G$52,'Data AFTER'!$A$2:$A$52,$A26,'Data AFTER'!$B$2:$B$52,$B26)</f>
        <v>130994</v>
      </c>
      <c r="H26" s="34" t="n">
        <f aca="false">SUMIFS('Data AFTER'!$H$2:$H$52,'Data AFTER'!$A$2:$A$52,$A26,'Data AFTER'!$B$2:$B$52,$B26)</f>
        <v>264593</v>
      </c>
      <c r="I26" s="34" t="n">
        <f aca="false">SUMIFS('Data AFTER'!$I$2:$I$52,'Data AFTER'!$A$2:$A$52,$A26,'Data AFTER'!$B$2:$B$52,$B26)</f>
        <v>0</v>
      </c>
      <c r="J26" s="34" t="n">
        <f aca="false">SUMIFS('Data AFTER'!$J$2:$J$52,'Data AFTER'!$A$2:$A$52,$A26,'Data AFTER'!$B$2:$B$52,$B26)</f>
        <v>95236</v>
      </c>
      <c r="K26" s="35" t="n">
        <f aca="false">IFERROR(H26/G26,"")</f>
        <v>2.01988640701101</v>
      </c>
      <c r="L26" s="36" t="n">
        <f aca="false">IFERROR(E26/H26*1000,"")</f>
        <v>0.632934355784167</v>
      </c>
      <c r="M26" s="37" t="n">
        <f aca="false">IFERROR(I26/H26,"")</f>
        <v>0</v>
      </c>
      <c r="N26" s="36" t="str">
        <f aca="false">IF(I26&gt;0,E26/I26,"")</f>
        <v/>
      </c>
      <c r="O26" s="33" t="n">
        <f aca="false">IFERROR(J26/H26,"")</f>
        <v>0.359933936271935</v>
      </c>
      <c r="P26" s="38" t="n">
        <f aca="false">IFERROR(E26/J26*1000,"")</f>
        <v>1.7584736864211</v>
      </c>
      <c r="Q26" s="38" t="n">
        <f aca="false">IFERROR(E26/G26*1000,"")</f>
        <v>1.27845550177871</v>
      </c>
    </row>
    <row r="27" customFormat="false" ht="15" hidden="false" customHeight="false" outlineLevel="0" collapsed="false">
      <c r="A27" s="3" t="s">
        <v>125</v>
      </c>
      <c r="B27" s="13" t="s">
        <v>154</v>
      </c>
      <c r="C27" s="13" t="s">
        <v>68</v>
      </c>
      <c r="D27" s="15" t="n">
        <f aca="false">COUNTIFS('Data AFTER'!$A$2:$A$52,$A27,'Data AFTER'!$B$2:$B$52,$B27)</f>
        <v>1</v>
      </c>
      <c r="E27" s="22" t="n">
        <f aca="false">SUMIFS('Data AFTER'!$F$2:$F$52,'Data AFTER'!$A$2:$A$52,$A27,'Data AFTER'!$B$2:$B$52,$B27)</f>
        <v>5.15</v>
      </c>
      <c r="F27" s="16" t="n">
        <f aca="false">E27/SUM('Data AFTER'!$F$2:$F$52)</f>
        <v>0.000209639168249476</v>
      </c>
      <c r="G27" s="14" t="n">
        <f aca="false">SUMIFS('Data AFTER'!$G$2:$G$52,'Data AFTER'!$A$2:$A$52,$A27,'Data AFTER'!$B$2:$B$52,$B27)</f>
        <v>19516</v>
      </c>
      <c r="H27" s="14" t="n">
        <f aca="false">SUMIFS('Data AFTER'!$H$2:$H$52,'Data AFTER'!$A$2:$A$52,$A27,'Data AFTER'!$B$2:$B$52,$B27)</f>
        <v>20706</v>
      </c>
      <c r="I27" s="14" t="n">
        <f aca="false">SUMIFS('Data AFTER'!$I$2:$I$52,'Data AFTER'!$A$2:$A$52,$A27,'Data AFTER'!$B$2:$B$52,$B27)</f>
        <v>116</v>
      </c>
      <c r="J27" s="14" t="n">
        <f aca="false">SUMIFS('Data AFTER'!$J$2:$J$52,'Data AFTER'!$A$2:$A$52,$A27,'Data AFTER'!$B$2:$B$52,$B27)</f>
        <v>7591</v>
      </c>
      <c r="K27" s="17" t="n">
        <f aca="false">IFERROR(H27/G27,"")</f>
        <v>1.0609756097561</v>
      </c>
      <c r="L27" s="18" t="n">
        <f aca="false">IFERROR(E27/H27*1000,"")</f>
        <v>0.248720177726263</v>
      </c>
      <c r="M27" s="23" t="n">
        <f aca="false">IFERROR(I27/H27,"")</f>
        <v>0.00560224089635854</v>
      </c>
      <c r="N27" s="18" t="n">
        <f aca="false">IF(I27&gt;0,E27/I27,"")</f>
        <v>0.0443965517241379</v>
      </c>
      <c r="O27" s="16" t="n">
        <f aca="false">IFERROR(J27/H27,"")</f>
        <v>0.366608712450497</v>
      </c>
      <c r="P27" s="21" t="n">
        <f aca="false">IFERROR(E27/J27*1000,"")</f>
        <v>0.678434988802529</v>
      </c>
      <c r="Q27" s="21" t="n">
        <f aca="false">IFERROR(E27/G27*1000,"")</f>
        <v>0.263886042221767</v>
      </c>
    </row>
    <row r="28" customFormat="false" ht="15" hidden="false" customHeight="false" outlineLevel="0" collapsed="false">
      <c r="A28" s="3" t="s">
        <v>126</v>
      </c>
      <c r="B28" s="13" t="s">
        <v>155</v>
      </c>
      <c r="C28" s="13" t="s">
        <v>68</v>
      </c>
      <c r="D28" s="15" t="n">
        <f aca="false">COUNTIFS('Data AFTER'!$A$2:$A$52,$A28,'Data AFTER'!$B$2:$B$52,$B28)</f>
        <v>1</v>
      </c>
      <c r="E28" s="32" t="n">
        <f aca="false">SUMIFS('Data AFTER'!$F$2:$F$52,'Data AFTER'!$A$2:$A$52,$A28,'Data AFTER'!$B$2:$B$52,$B28)</f>
        <v>0.02</v>
      </c>
      <c r="F28" s="33" t="n">
        <f aca="false">E28/SUM('Data AFTER'!$F$2:$F$52)</f>
        <v>8.14132692230976E-007</v>
      </c>
      <c r="G28" s="34" t="n">
        <f aca="false">SUMIFS('Data AFTER'!$G$2:$G$52,'Data AFTER'!$A$2:$A$52,$A28,'Data AFTER'!$B$2:$B$52,$B28)</f>
        <v>24</v>
      </c>
      <c r="H28" s="34" t="n">
        <f aca="false">SUMIFS('Data AFTER'!$H$2:$H$52,'Data AFTER'!$A$2:$A$52,$A28,'Data AFTER'!$B$2:$B$52,$B28)</f>
        <v>29</v>
      </c>
      <c r="I28" s="34" t="n">
        <f aca="false">SUMIFS('Data AFTER'!$I$2:$I$52,'Data AFTER'!$A$2:$A$52,$A28,'Data AFTER'!$B$2:$B$52,$B28)</f>
        <v>0</v>
      </c>
      <c r="J28" s="34" t="n">
        <f aca="false">SUMIFS('Data AFTER'!$J$2:$J$52,'Data AFTER'!$A$2:$A$52,$A28,'Data AFTER'!$B$2:$B$52,$B28)</f>
        <v>4</v>
      </c>
      <c r="K28" s="35" t="n">
        <f aca="false">IFERROR(H28/G28,"")</f>
        <v>1.20833333333333</v>
      </c>
      <c r="L28" s="36" t="n">
        <f aca="false">IFERROR(E28/H28*1000,"")</f>
        <v>0.689655172413793</v>
      </c>
      <c r="M28" s="37" t="n">
        <f aca="false">IFERROR(I28/H28,"")</f>
        <v>0</v>
      </c>
      <c r="N28" s="36" t="str">
        <f aca="false">IF(I28&gt;0,E28/I28,"")</f>
        <v/>
      </c>
      <c r="O28" s="33" t="n">
        <f aca="false">IFERROR(J28/H28,"")</f>
        <v>0.137931034482759</v>
      </c>
      <c r="P28" s="38" t="n">
        <f aca="false">IFERROR(E28/J28*1000,"")</f>
        <v>5</v>
      </c>
      <c r="Q28" s="38" t="n">
        <f aca="false">IFERROR(E28/G28*1000,"")</f>
        <v>0.833333333333333</v>
      </c>
    </row>
    <row r="29" customFormat="false" ht="15" hidden="false" customHeight="false" outlineLevel="0" collapsed="false">
      <c r="A29" s="3" t="s">
        <v>105</v>
      </c>
      <c r="D29" s="39" t="n">
        <f aca="false">SUM(D5:D28)</f>
        <v>51</v>
      </c>
      <c r="E29" s="40" t="n">
        <f aca="false">SUM(E5:E28)</f>
        <v>24566.02</v>
      </c>
      <c r="G29" s="39" t="n">
        <f aca="false">SUM(G5:G28)</f>
        <v>61767357</v>
      </c>
      <c r="H29" s="39" t="n">
        <f aca="false">SUM(H5:H28)</f>
        <v>93440992</v>
      </c>
      <c r="I29" s="39" t="n">
        <f aca="false">SUM(I5:I28)</f>
        <v>204396</v>
      </c>
      <c r="J29" s="39" t="n">
        <f aca="false">SUM(J5:J28)</f>
        <v>16912347</v>
      </c>
    </row>
  </sheetData>
  <autoFilter ref="A4:Q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96</v>
      </c>
      <c r="B1" s="5" t="s">
        <v>129</v>
      </c>
      <c r="C1" s="5" t="s">
        <v>156</v>
      </c>
      <c r="D1" s="5" t="s">
        <v>10</v>
      </c>
      <c r="E1" s="5" t="s">
        <v>12</v>
      </c>
      <c r="F1" s="5" t="s">
        <v>55</v>
      </c>
      <c r="G1" s="5" t="s">
        <v>57</v>
      </c>
      <c r="H1" s="5" t="s">
        <v>35</v>
      </c>
      <c r="I1" s="5" t="s">
        <v>40</v>
      </c>
      <c r="J1" s="5" t="s">
        <v>43</v>
      </c>
      <c r="K1" s="5" t="s">
        <v>157</v>
      </c>
      <c r="L1" s="5" t="s">
        <v>158</v>
      </c>
      <c r="M1" s="5" t="s">
        <v>39</v>
      </c>
      <c r="N1" s="5" t="s">
        <v>41</v>
      </c>
      <c r="O1" s="5" t="s">
        <v>42</v>
      </c>
      <c r="P1" s="5" t="s">
        <v>44</v>
      </c>
      <c r="Q1" s="5" t="s">
        <v>60</v>
      </c>
      <c r="R1" s="5" t="s">
        <v>61</v>
      </c>
    </row>
    <row r="2" customFormat="false" ht="15" hidden="false" customHeight="false" outlineLevel="0" collapsed="false">
      <c r="A2" s="41" t="s">
        <v>100</v>
      </c>
      <c r="B2" s="41" t="s">
        <v>131</v>
      </c>
      <c r="C2" s="41" t="s">
        <v>159</v>
      </c>
      <c r="D2" s="41" t="s">
        <v>62</v>
      </c>
      <c r="E2" s="41" t="s">
        <v>160</v>
      </c>
      <c r="F2" s="42" t="n">
        <v>1741.08</v>
      </c>
      <c r="G2" s="43" t="n">
        <v>2629405</v>
      </c>
      <c r="H2" s="43" t="n">
        <v>6676174</v>
      </c>
      <c r="I2" s="43" t="n">
        <v>18187</v>
      </c>
      <c r="J2" s="43" t="n">
        <v>1298328</v>
      </c>
      <c r="K2" s="43" t="n">
        <v>2629405</v>
      </c>
      <c r="L2" s="44" t="n">
        <v>2.54</v>
      </c>
      <c r="M2" s="18" t="n">
        <f aca="false">IFERROR(F2/H2*1000,"")</f>
        <v>0.260790087256563</v>
      </c>
      <c r="N2" s="23" t="n">
        <f aca="false">IFERROR(I2/H2,"")</f>
        <v>0.00272416506819625</v>
      </c>
      <c r="O2" s="18" t="n">
        <f aca="false">IF(I2&gt;0,F2/I2,"")</f>
        <v>0.0957321163468412</v>
      </c>
      <c r="P2" s="16" t="n">
        <f aca="false">IFERROR(J2/H2,"")</f>
        <v>0.194471863675213</v>
      </c>
      <c r="Q2" s="21" t="n">
        <f aca="false">IFERROR(F2/J2*1000,"")</f>
        <v>1.34101706194429</v>
      </c>
      <c r="R2" s="21" t="n">
        <f aca="false">IFERROR(F2/G2*1000,"")</f>
        <v>0.662157408234943</v>
      </c>
    </row>
    <row r="3" customFormat="false" ht="15" hidden="false" customHeight="false" outlineLevel="0" collapsed="false">
      <c r="A3" s="41" t="s">
        <v>101</v>
      </c>
      <c r="B3" s="41" t="s">
        <v>131</v>
      </c>
      <c r="C3" s="41" t="s">
        <v>161</v>
      </c>
      <c r="D3" s="41" t="s">
        <v>62</v>
      </c>
      <c r="E3" s="41" t="s">
        <v>162</v>
      </c>
      <c r="F3" s="42" t="n">
        <v>1544.18</v>
      </c>
      <c r="G3" s="43" t="n">
        <v>3083324</v>
      </c>
      <c r="H3" s="43" t="n">
        <v>7796046</v>
      </c>
      <c r="I3" s="43" t="n">
        <v>19755</v>
      </c>
      <c r="J3" s="43" t="n">
        <v>1111381</v>
      </c>
      <c r="K3" s="43" t="n">
        <v>3083324</v>
      </c>
      <c r="L3" s="44" t="n">
        <v>2.53</v>
      </c>
      <c r="M3" s="18" t="n">
        <f aca="false">IFERROR(F3/H3*1000,"")</f>
        <v>0.198072202242008</v>
      </c>
      <c r="N3" s="23" t="n">
        <f aca="false">IFERROR(I3/H3,"")</f>
        <v>0.0025339768390284</v>
      </c>
      <c r="O3" s="18" t="n">
        <f aca="false">IF(I3&gt;0,F3/I3,"")</f>
        <v>0.0781665401164262</v>
      </c>
      <c r="P3" s="16" t="n">
        <f aca="false">IFERROR(J3/H3,"")</f>
        <v>0.142557009027397</v>
      </c>
      <c r="Q3" s="21" t="n">
        <f aca="false">IFERROR(F3/J3*1000,"")</f>
        <v>1.38942450878682</v>
      </c>
      <c r="R3" s="21" t="n">
        <f aca="false">IFERROR(F3/G3*1000,"")</f>
        <v>0.500816651120674</v>
      </c>
    </row>
    <row r="4" customFormat="false" ht="15" hidden="false" customHeight="false" outlineLevel="0" collapsed="false">
      <c r="A4" s="41" t="s">
        <v>99</v>
      </c>
      <c r="B4" s="41" t="s">
        <v>130</v>
      </c>
      <c r="C4" s="41" t="s">
        <v>163</v>
      </c>
      <c r="D4" s="41" t="s">
        <v>62</v>
      </c>
      <c r="E4" s="41" t="s">
        <v>164</v>
      </c>
      <c r="F4" s="42" t="n">
        <v>1281.7</v>
      </c>
      <c r="G4" s="43" t="n">
        <v>2663687</v>
      </c>
      <c r="H4" s="43" t="n">
        <v>5105265</v>
      </c>
      <c r="I4" s="43" t="n">
        <v>15057</v>
      </c>
      <c r="J4" s="43" t="n">
        <v>1391028</v>
      </c>
      <c r="K4" s="43" t="n">
        <v>2663687</v>
      </c>
      <c r="L4" s="44" t="n">
        <v>1.92</v>
      </c>
      <c r="M4" s="18" t="n">
        <f aca="false">IFERROR(F4/H4*1000,"")</f>
        <v>0.251054548588565</v>
      </c>
      <c r="N4" s="23" t="n">
        <f aca="false">IFERROR(I4/H4,"")</f>
        <v>0.00294930821416714</v>
      </c>
      <c r="O4" s="18" t="n">
        <f aca="false">IF(I4&gt;0,F4/I4,"")</f>
        <v>0.0851231985123199</v>
      </c>
      <c r="P4" s="16" t="n">
        <f aca="false">IFERROR(J4/H4,"")</f>
        <v>0.272469303748189</v>
      </c>
      <c r="Q4" s="21" t="n">
        <f aca="false">IFERROR(F4/J4*1000,"")</f>
        <v>0.921404889046087</v>
      </c>
      <c r="R4" s="21" t="n">
        <f aca="false">IFERROR(F4/G4*1000,"")</f>
        <v>0.48117515308668</v>
      </c>
    </row>
    <row r="5" customFormat="false" ht="15" hidden="false" customHeight="false" outlineLevel="0" collapsed="false">
      <c r="A5" s="41" t="s">
        <v>99</v>
      </c>
      <c r="B5" s="41" t="s">
        <v>130</v>
      </c>
      <c r="C5" s="41" t="s">
        <v>165</v>
      </c>
      <c r="D5" s="41" t="s">
        <v>62</v>
      </c>
      <c r="E5" s="41" t="s">
        <v>166</v>
      </c>
      <c r="F5" s="42" t="n">
        <v>1242.4</v>
      </c>
      <c r="G5" s="43" t="n">
        <v>2696783</v>
      </c>
      <c r="H5" s="43" t="n">
        <v>4890830</v>
      </c>
      <c r="I5" s="43" t="n">
        <v>10221</v>
      </c>
      <c r="J5" s="43" t="n">
        <v>455502</v>
      </c>
      <c r="K5" s="43" t="n">
        <v>2696783</v>
      </c>
      <c r="L5" s="44" t="n">
        <v>1.81</v>
      </c>
      <c r="M5" s="18" t="n">
        <f aca="false">IFERROR(F5/H5*1000,"")</f>
        <v>0.254026412694778</v>
      </c>
      <c r="N5" s="23" t="n">
        <f aca="false">IFERROR(I5/H5,"")</f>
        <v>0.00208982933367138</v>
      </c>
      <c r="O5" s="18" t="n">
        <f aca="false">IF(I5&gt;0,F5/I5,"")</f>
        <v>0.121553664025046</v>
      </c>
      <c r="P5" s="16" t="n">
        <f aca="false">IFERROR(J5/H5,"")</f>
        <v>0.0931338852505607</v>
      </c>
      <c r="Q5" s="21" t="n">
        <f aca="false">IFERROR(F5/J5*1000,"")</f>
        <v>2.72754016447787</v>
      </c>
      <c r="R5" s="21" t="n">
        <f aca="false">IFERROR(F5/G5*1000,"")</f>
        <v>0.460697060163906</v>
      </c>
    </row>
    <row r="6" customFormat="false" ht="15" hidden="false" customHeight="false" outlineLevel="0" collapsed="false">
      <c r="A6" s="41" t="s">
        <v>100</v>
      </c>
      <c r="B6" s="41" t="s">
        <v>131</v>
      </c>
      <c r="C6" s="41" t="s">
        <v>167</v>
      </c>
      <c r="D6" s="41" t="s">
        <v>62</v>
      </c>
      <c r="E6" s="41" t="s">
        <v>160</v>
      </c>
      <c r="F6" s="42" t="n">
        <v>1144.3</v>
      </c>
      <c r="G6" s="43" t="n">
        <v>2268375</v>
      </c>
      <c r="H6" s="43" t="n">
        <v>4267995</v>
      </c>
      <c r="I6" s="43" t="n">
        <v>17631</v>
      </c>
      <c r="J6" s="43" t="n">
        <v>1999183</v>
      </c>
      <c r="K6" s="43" t="n">
        <v>2268375</v>
      </c>
      <c r="L6" s="44" t="n">
        <v>1.88</v>
      </c>
      <c r="M6" s="18" t="n">
        <f aca="false">IFERROR(F6/H6*1000,"")</f>
        <v>0.26811184174302</v>
      </c>
      <c r="N6" s="23" t="n">
        <f aca="false">IFERROR(I6/H6,"")</f>
        <v>0.00413097953488699</v>
      </c>
      <c r="O6" s="18" t="n">
        <f aca="false">IF(I6&gt;0,F6/I6,"")</f>
        <v>0.0649027281492825</v>
      </c>
      <c r="P6" s="16" t="n">
        <f aca="false">IFERROR(J6/H6,"")</f>
        <v>0.468412685581872</v>
      </c>
      <c r="Q6" s="21" t="n">
        <f aca="false">IFERROR(F6/J6*1000,"")</f>
        <v>0.572383818789976</v>
      </c>
      <c r="R6" s="21" t="n">
        <f aca="false">IFERROR(F6/G6*1000,"")</f>
        <v>0.504458037141125</v>
      </c>
    </row>
    <row r="7" customFormat="false" ht="15" hidden="false" customHeight="false" outlineLevel="0" collapsed="false">
      <c r="A7" s="41" t="s">
        <v>101</v>
      </c>
      <c r="B7" s="41" t="s">
        <v>131</v>
      </c>
      <c r="C7" s="41" t="s">
        <v>168</v>
      </c>
      <c r="D7" s="41" t="s">
        <v>62</v>
      </c>
      <c r="E7" s="41" t="s">
        <v>162</v>
      </c>
      <c r="F7" s="42" t="n">
        <v>1126.65</v>
      </c>
      <c r="G7" s="43" t="n">
        <v>2885057</v>
      </c>
      <c r="H7" s="43" t="n">
        <v>5770886</v>
      </c>
      <c r="I7" s="43" t="n">
        <v>15239</v>
      </c>
      <c r="J7" s="43" t="n">
        <v>1367323</v>
      </c>
      <c r="K7" s="43" t="n">
        <v>2885057</v>
      </c>
      <c r="L7" s="44" t="n">
        <v>2</v>
      </c>
      <c r="M7" s="18" t="n">
        <f aca="false">IFERROR(F7/H7*1000,"")</f>
        <v>0.195229987215135</v>
      </c>
      <c r="N7" s="23" t="n">
        <f aca="false">IFERROR(I7/H7,"")</f>
        <v>0.00264066904111431</v>
      </c>
      <c r="O7" s="18" t="n">
        <f aca="false">IF(I7&gt;0,F7/I7,"")</f>
        <v>0.0739320165365182</v>
      </c>
      <c r="P7" s="16" t="n">
        <f aca="false">IFERROR(J7/H7,"")</f>
        <v>0.236934675195455</v>
      </c>
      <c r="Q7" s="21" t="n">
        <f aca="false">IFERROR(F7/J7*1000,"")</f>
        <v>0.823982336287768</v>
      </c>
      <c r="R7" s="21" t="n">
        <f aca="false">IFERROR(F7/G7*1000,"")</f>
        <v>0.39051221518327</v>
      </c>
    </row>
    <row r="8" customFormat="false" ht="15" hidden="false" customHeight="false" outlineLevel="0" collapsed="false">
      <c r="A8" s="41" t="s">
        <v>100</v>
      </c>
      <c r="B8" s="41" t="s">
        <v>131</v>
      </c>
      <c r="C8" s="41" t="s">
        <v>169</v>
      </c>
      <c r="D8" s="41" t="s">
        <v>62</v>
      </c>
      <c r="E8" s="41" t="s">
        <v>164</v>
      </c>
      <c r="F8" s="42" t="n">
        <v>1115.02</v>
      </c>
      <c r="G8" s="43" t="n">
        <v>2350324</v>
      </c>
      <c r="H8" s="43" t="n">
        <v>4624497</v>
      </c>
      <c r="I8" s="43" t="n">
        <v>8478</v>
      </c>
      <c r="J8" s="43" t="n">
        <v>949045</v>
      </c>
      <c r="K8" s="43" t="n">
        <v>2350324</v>
      </c>
      <c r="L8" s="44" t="n">
        <v>1.97</v>
      </c>
      <c r="M8" s="18" t="n">
        <f aca="false">IFERROR(F8/H8*1000,"")</f>
        <v>0.241111627924075</v>
      </c>
      <c r="N8" s="23" t="n">
        <f aca="false">IFERROR(I8/H8,"")</f>
        <v>0.00183328046271843</v>
      </c>
      <c r="O8" s="18" t="n">
        <f aca="false">IF(I8&gt;0,F8/I8,"")</f>
        <v>0.131519226232602</v>
      </c>
      <c r="P8" s="16" t="n">
        <f aca="false">IFERROR(J8/H8,"")</f>
        <v>0.205221238115194</v>
      </c>
      <c r="Q8" s="21" t="n">
        <f aca="false">IFERROR(F8/J8*1000,"")</f>
        <v>1.17488633310328</v>
      </c>
      <c r="R8" s="21" t="n">
        <f aca="false">IFERROR(F8/G8*1000,"")</f>
        <v>0.474411187563927</v>
      </c>
    </row>
    <row r="9" customFormat="false" ht="15" hidden="false" customHeight="false" outlineLevel="0" collapsed="false">
      <c r="A9" s="41" t="s">
        <v>102</v>
      </c>
      <c r="B9" s="41" t="s">
        <v>131</v>
      </c>
      <c r="C9" s="41" t="s">
        <v>170</v>
      </c>
      <c r="D9" s="41" t="s">
        <v>66</v>
      </c>
      <c r="E9" s="41" t="s">
        <v>162</v>
      </c>
      <c r="F9" s="42" t="n">
        <v>1085.2</v>
      </c>
      <c r="G9" s="43" t="n">
        <v>772050</v>
      </c>
      <c r="H9" s="43" t="n">
        <v>2437786</v>
      </c>
      <c r="I9" s="43" t="n">
        <v>0</v>
      </c>
      <c r="J9" s="43" t="n">
        <v>420991</v>
      </c>
      <c r="K9" s="43" t="n">
        <v>4365</v>
      </c>
      <c r="L9" s="44" t="n">
        <v>3.16</v>
      </c>
      <c r="M9" s="18" t="n">
        <f aca="false">IFERROR(F9/H9*1000,"")</f>
        <v>0.445158024535378</v>
      </c>
      <c r="N9" s="23" t="n">
        <f aca="false">IFERROR(I9/H9,"")</f>
        <v>0</v>
      </c>
      <c r="O9" s="18" t="str">
        <f aca="false">IF(I9&gt;0,F9/I9,"")</f>
        <v/>
      </c>
      <c r="P9" s="16" t="n">
        <f aca="false">IFERROR(J9/H9,"")</f>
        <v>0.172693993648335</v>
      </c>
      <c r="Q9" s="21" t="n">
        <f aca="false">IFERROR(F9/J9*1000,"")</f>
        <v>2.57772731483571</v>
      </c>
      <c r="R9" s="21" t="n">
        <f aca="false">IFERROR(F9/G9*1000,"")</f>
        <v>1.4056084450489</v>
      </c>
    </row>
    <row r="10" customFormat="false" ht="15" hidden="false" customHeight="false" outlineLevel="0" collapsed="false">
      <c r="A10" s="41" t="s">
        <v>101</v>
      </c>
      <c r="B10" s="41" t="s">
        <v>131</v>
      </c>
      <c r="C10" s="41" t="s">
        <v>171</v>
      </c>
      <c r="D10" s="41" t="s">
        <v>62</v>
      </c>
      <c r="E10" s="41" t="s">
        <v>92</v>
      </c>
      <c r="F10" s="42" t="n">
        <v>1032.83</v>
      </c>
      <c r="G10" s="43" t="n">
        <v>2122706</v>
      </c>
      <c r="H10" s="43" t="n">
        <v>4101665</v>
      </c>
      <c r="I10" s="43" t="n">
        <v>8972</v>
      </c>
      <c r="J10" s="43" t="n">
        <v>842101</v>
      </c>
      <c r="K10" s="43" t="n">
        <v>2122706</v>
      </c>
      <c r="L10" s="44" t="n">
        <v>1.93</v>
      </c>
      <c r="M10" s="18" t="n">
        <f aca="false">IFERROR(F10/H10*1000,"")</f>
        <v>0.251807497686915</v>
      </c>
      <c r="N10" s="23" t="n">
        <f aca="false">IFERROR(I10/H10,"")</f>
        <v>0.00218740438334189</v>
      </c>
      <c r="O10" s="18" t="n">
        <f aca="false">IF(I10&gt;0,F10/I10,"")</f>
        <v>0.115117030762372</v>
      </c>
      <c r="P10" s="16" t="n">
        <f aca="false">IFERROR(J10/H10,"")</f>
        <v>0.205307113087002</v>
      </c>
      <c r="Q10" s="21" t="n">
        <f aca="false">IFERROR(F10/J10*1000,"")</f>
        <v>1.22649183411491</v>
      </c>
      <c r="R10" s="21" t="n">
        <f aca="false">IFERROR(F10/G10*1000,"")</f>
        <v>0.486562906026553</v>
      </c>
    </row>
    <row r="11" customFormat="false" ht="15" hidden="false" customHeight="false" outlineLevel="0" collapsed="false">
      <c r="A11" s="41" t="s">
        <v>101</v>
      </c>
      <c r="B11" s="41" t="s">
        <v>131</v>
      </c>
      <c r="C11" s="41" t="s">
        <v>172</v>
      </c>
      <c r="D11" s="41" t="s">
        <v>62</v>
      </c>
      <c r="E11" s="41" t="s">
        <v>90</v>
      </c>
      <c r="F11" s="42" t="n">
        <v>865.19</v>
      </c>
      <c r="G11" s="43" t="n">
        <v>2871162</v>
      </c>
      <c r="H11" s="43" t="n">
        <v>5292895</v>
      </c>
      <c r="I11" s="43" t="n">
        <v>10096</v>
      </c>
      <c r="J11" s="43" t="n">
        <v>1438064</v>
      </c>
      <c r="K11" s="43" t="n">
        <v>2871162</v>
      </c>
      <c r="L11" s="44" t="n">
        <v>1.84</v>
      </c>
      <c r="M11" s="18" t="n">
        <f aca="false">IFERROR(F11/H11*1000,"")</f>
        <v>0.163462528540619</v>
      </c>
      <c r="N11" s="23" t="n">
        <f aca="false">IFERROR(I11/H11,"")</f>
        <v>0.00190746274014504</v>
      </c>
      <c r="O11" s="18" t="n">
        <f aca="false">IF(I11&gt;0,F11/I11,"")</f>
        <v>0.0856963153724247</v>
      </c>
      <c r="P11" s="16" t="n">
        <f aca="false">IFERROR(J11/H11,"")</f>
        <v>0.271697058037237</v>
      </c>
      <c r="Q11" s="21" t="n">
        <f aca="false">IFERROR(F11/J11*1000,"")</f>
        <v>0.601635254063797</v>
      </c>
      <c r="R11" s="21" t="n">
        <f aca="false">IFERROR(F11/G11*1000,"")</f>
        <v>0.301337925202409</v>
      </c>
    </row>
    <row r="12" customFormat="false" ht="15" hidden="false" customHeight="false" outlineLevel="0" collapsed="false">
      <c r="A12" s="41" t="s">
        <v>99</v>
      </c>
      <c r="B12" s="41" t="s">
        <v>130</v>
      </c>
      <c r="C12" s="41" t="s">
        <v>173</v>
      </c>
      <c r="D12" s="41" t="s">
        <v>62</v>
      </c>
      <c r="E12" s="41" t="s">
        <v>88</v>
      </c>
      <c r="F12" s="42" t="n">
        <v>840.76</v>
      </c>
      <c r="G12" s="43" t="n">
        <v>2090090</v>
      </c>
      <c r="H12" s="43" t="n">
        <v>3120968</v>
      </c>
      <c r="I12" s="43" t="n">
        <v>6195</v>
      </c>
      <c r="J12" s="43" t="n">
        <v>713781</v>
      </c>
      <c r="K12" s="43" t="n">
        <v>2090090</v>
      </c>
      <c r="L12" s="44" t="n">
        <v>1.49</v>
      </c>
      <c r="M12" s="18" t="n">
        <f aca="false">IFERROR(F12/H12*1000,"")</f>
        <v>0.269390778758385</v>
      </c>
      <c r="N12" s="23" t="n">
        <f aca="false">IFERROR(I12/H12,"")</f>
        <v>0.00198496107617893</v>
      </c>
      <c r="O12" s="18" t="n">
        <f aca="false">IF(I12&gt;0,F12/I12,"")</f>
        <v>0.13571589991929</v>
      </c>
      <c r="P12" s="16" t="n">
        <f aca="false">IFERROR(J12/H12,"")</f>
        <v>0.228705004344806</v>
      </c>
      <c r="Q12" s="21" t="n">
        <f aca="false">IFERROR(F12/J12*1000,"")</f>
        <v>1.17789630152666</v>
      </c>
      <c r="R12" s="21" t="n">
        <f aca="false">IFERROR(F12/G12*1000,"")</f>
        <v>0.402260189752594</v>
      </c>
    </row>
    <row r="13" customFormat="false" ht="15" hidden="false" customHeight="false" outlineLevel="0" collapsed="false">
      <c r="A13" s="41" t="s">
        <v>100</v>
      </c>
      <c r="B13" s="41" t="s">
        <v>131</v>
      </c>
      <c r="C13" s="41" t="s">
        <v>174</v>
      </c>
      <c r="D13" s="41" t="s">
        <v>62</v>
      </c>
      <c r="E13" s="41" t="s">
        <v>164</v>
      </c>
      <c r="F13" s="42" t="n">
        <v>825.81</v>
      </c>
      <c r="G13" s="43" t="n">
        <v>1380656</v>
      </c>
      <c r="H13" s="43" t="n">
        <v>2079474</v>
      </c>
      <c r="I13" s="43" t="n">
        <v>6066</v>
      </c>
      <c r="J13" s="43" t="n">
        <v>647206</v>
      </c>
      <c r="K13" s="43" t="n">
        <v>1380656</v>
      </c>
      <c r="L13" s="44" t="n">
        <v>1.51</v>
      </c>
      <c r="M13" s="18" t="n">
        <f aca="false">IFERROR(F13/H13*1000,"")</f>
        <v>0.397124465129162</v>
      </c>
      <c r="N13" s="23" t="n">
        <f aca="false">IFERROR(I13/H13,"")</f>
        <v>0.00291708383947094</v>
      </c>
      <c r="O13" s="18" t="n">
        <f aca="false">IF(I13&gt;0,F13/I13,"")</f>
        <v>0.136137487636004</v>
      </c>
      <c r="P13" s="16" t="n">
        <f aca="false">IFERROR(J13/H13,"")</f>
        <v>0.311235437423118</v>
      </c>
      <c r="Q13" s="21" t="n">
        <f aca="false">IFERROR(F13/J13*1000,"")</f>
        <v>1.27596159491723</v>
      </c>
      <c r="R13" s="21" t="n">
        <f aca="false">IFERROR(F13/G13*1000,"")</f>
        <v>0.598128715625036</v>
      </c>
    </row>
    <row r="14" customFormat="false" ht="15" hidden="false" customHeight="false" outlineLevel="0" collapsed="false">
      <c r="A14" s="41" t="s">
        <v>100</v>
      </c>
      <c r="B14" s="41" t="s">
        <v>131</v>
      </c>
      <c r="C14" s="41" t="s">
        <v>175</v>
      </c>
      <c r="D14" s="41" t="s">
        <v>62</v>
      </c>
      <c r="E14" s="41" t="s">
        <v>160</v>
      </c>
      <c r="F14" s="42" t="n">
        <v>782.63</v>
      </c>
      <c r="G14" s="43" t="n">
        <v>1480734</v>
      </c>
      <c r="H14" s="43" t="n">
        <v>2053005</v>
      </c>
      <c r="I14" s="43" t="n">
        <v>7574</v>
      </c>
      <c r="J14" s="43" t="n">
        <v>704011</v>
      </c>
      <c r="K14" s="43" t="n">
        <v>1480734</v>
      </c>
      <c r="L14" s="44" t="n">
        <v>1.39</v>
      </c>
      <c r="M14" s="18" t="n">
        <f aca="false">IFERROR(F14/H14*1000,"")</f>
        <v>0.38121193080387</v>
      </c>
      <c r="N14" s="23" t="n">
        <f aca="false">IFERROR(I14/H14,"")</f>
        <v>0.00368922628050102</v>
      </c>
      <c r="O14" s="18" t="n">
        <f aca="false">IF(I14&gt;0,F14/I14,"")</f>
        <v>0.103331132822815</v>
      </c>
      <c r="P14" s="16" t="n">
        <f aca="false">IFERROR(J14/H14,"")</f>
        <v>0.342917333372301</v>
      </c>
      <c r="Q14" s="21" t="n">
        <f aca="false">IFERROR(F14/J14*1000,"")</f>
        <v>1.11167297101892</v>
      </c>
      <c r="R14" s="21" t="n">
        <f aca="false">IFERROR(F14/G14*1000,"")</f>
        <v>0.528541925828677</v>
      </c>
    </row>
    <row r="15" customFormat="false" ht="15" hidden="false" customHeight="false" outlineLevel="0" collapsed="false">
      <c r="A15" s="41" t="s">
        <v>99</v>
      </c>
      <c r="B15" s="41" t="s">
        <v>130</v>
      </c>
      <c r="C15" s="41" t="s">
        <v>176</v>
      </c>
      <c r="D15" s="41" t="s">
        <v>62</v>
      </c>
      <c r="E15" s="41" t="s">
        <v>88</v>
      </c>
      <c r="F15" s="42" t="n">
        <v>778.6</v>
      </c>
      <c r="G15" s="43" t="n">
        <v>2115021</v>
      </c>
      <c r="H15" s="43" t="n">
        <v>2949278</v>
      </c>
      <c r="I15" s="43" t="n">
        <v>7456</v>
      </c>
      <c r="J15" s="43" t="n">
        <v>897302</v>
      </c>
      <c r="K15" s="43" t="n">
        <v>2115021</v>
      </c>
      <c r="L15" s="44" t="n">
        <v>1.39</v>
      </c>
      <c r="M15" s="18" t="n">
        <f aca="false">IFERROR(F15/H15*1000,"")</f>
        <v>0.263996815491792</v>
      </c>
      <c r="N15" s="23" t="n">
        <f aca="false">IFERROR(I15/H15,"")</f>
        <v>0.00252807636309632</v>
      </c>
      <c r="O15" s="18" t="n">
        <f aca="false">IF(I15&gt;0,F15/I15,"")</f>
        <v>0.104425965665236</v>
      </c>
      <c r="P15" s="16" t="n">
        <f aca="false">IFERROR(J15/H15,"")</f>
        <v>0.304244632076054</v>
      </c>
      <c r="Q15" s="21" t="n">
        <f aca="false">IFERROR(F15/J15*1000,"")</f>
        <v>0.867712319820975</v>
      </c>
      <c r="R15" s="21" t="n">
        <f aca="false">IFERROR(F15/G15*1000,"")</f>
        <v>0.368128732527951</v>
      </c>
    </row>
    <row r="16" customFormat="false" ht="15" hidden="false" customHeight="false" outlineLevel="0" collapsed="false">
      <c r="A16" s="41" t="s">
        <v>101</v>
      </c>
      <c r="B16" s="41" t="s">
        <v>131</v>
      </c>
      <c r="C16" s="41" t="s">
        <v>177</v>
      </c>
      <c r="D16" s="41" t="s">
        <v>62</v>
      </c>
      <c r="E16" s="41" t="s">
        <v>92</v>
      </c>
      <c r="F16" s="42" t="n">
        <v>734.89</v>
      </c>
      <c r="G16" s="43" t="n">
        <v>2092867</v>
      </c>
      <c r="H16" s="43" t="n">
        <v>3119890</v>
      </c>
      <c r="I16" s="43" t="n">
        <v>6967</v>
      </c>
      <c r="J16" s="43" t="n">
        <v>307041</v>
      </c>
      <c r="K16" s="43" t="n">
        <v>2092867</v>
      </c>
      <c r="L16" s="44" t="n">
        <v>1.49</v>
      </c>
      <c r="M16" s="18" t="n">
        <f aca="false">IFERROR(F16/H16*1000,"")</f>
        <v>0.235549971313091</v>
      </c>
      <c r="N16" s="23" t="n">
        <f aca="false">IFERROR(I16/H16,"")</f>
        <v>0.00223309155130469</v>
      </c>
      <c r="O16" s="18" t="n">
        <f aca="false">IF(I16&gt;0,F16/I16,"")</f>
        <v>0.105481555906416</v>
      </c>
      <c r="P16" s="16" t="n">
        <f aca="false">IFERROR(J16/H16,"")</f>
        <v>0.0984140466490806</v>
      </c>
      <c r="Q16" s="21" t="n">
        <f aca="false">IFERROR(F16/J16*1000,"")</f>
        <v>2.39345885402927</v>
      </c>
      <c r="R16" s="21" t="n">
        <f aca="false">IFERROR(F16/G16*1000,"")</f>
        <v>0.351140325687203</v>
      </c>
    </row>
    <row r="17" customFormat="false" ht="15" hidden="false" customHeight="false" outlineLevel="0" collapsed="false">
      <c r="A17" s="41" t="s">
        <v>101</v>
      </c>
      <c r="B17" s="41" t="s">
        <v>131</v>
      </c>
      <c r="C17" s="41" t="s">
        <v>178</v>
      </c>
      <c r="D17" s="41" t="s">
        <v>62</v>
      </c>
      <c r="E17" s="41" t="s">
        <v>162</v>
      </c>
      <c r="F17" s="42" t="n">
        <v>726.12</v>
      </c>
      <c r="G17" s="43" t="n">
        <v>2725951</v>
      </c>
      <c r="H17" s="43" t="n">
        <v>4627800</v>
      </c>
      <c r="I17" s="43" t="n">
        <v>8509</v>
      </c>
      <c r="J17" s="43" t="n">
        <v>1042430</v>
      </c>
      <c r="K17" s="43" t="n">
        <v>2725951</v>
      </c>
      <c r="L17" s="44" t="n">
        <v>1.7</v>
      </c>
      <c r="M17" s="18" t="n">
        <f aca="false">IFERROR(F17/H17*1000,"")</f>
        <v>0.156903928432517</v>
      </c>
      <c r="N17" s="23" t="n">
        <f aca="false">IFERROR(I17/H17,"")</f>
        <v>0.00183867064263797</v>
      </c>
      <c r="O17" s="18" t="n">
        <f aca="false">IF(I17&gt;0,F17/I17,"")</f>
        <v>0.0853355270889646</v>
      </c>
      <c r="P17" s="16" t="n">
        <f aca="false">IFERROR(J17/H17,"")</f>
        <v>0.225253900341415</v>
      </c>
      <c r="Q17" s="21" t="n">
        <f aca="false">IFERROR(F17/J17*1000,"")</f>
        <v>0.696564757345817</v>
      </c>
      <c r="R17" s="21" t="n">
        <f aca="false">IFERROR(F17/G17*1000,"")</f>
        <v>0.266373093280107</v>
      </c>
    </row>
    <row r="18" customFormat="false" ht="15" hidden="false" customHeight="false" outlineLevel="0" collapsed="false">
      <c r="A18" s="41" t="s">
        <v>99</v>
      </c>
      <c r="B18" s="41" t="s">
        <v>130</v>
      </c>
      <c r="C18" s="41" t="s">
        <v>179</v>
      </c>
      <c r="D18" s="41" t="s">
        <v>62</v>
      </c>
      <c r="E18" s="41" t="s">
        <v>88</v>
      </c>
      <c r="F18" s="42" t="n">
        <v>683.31</v>
      </c>
      <c r="G18" s="43" t="n">
        <v>1947612</v>
      </c>
      <c r="H18" s="43" t="n">
        <v>2580681</v>
      </c>
      <c r="I18" s="43" t="n">
        <v>4273</v>
      </c>
      <c r="J18" s="43" t="n">
        <v>400965</v>
      </c>
      <c r="K18" s="43" t="n">
        <v>1947612</v>
      </c>
      <c r="L18" s="44" t="n">
        <v>1.33</v>
      </c>
      <c r="M18" s="18" t="n">
        <f aca="false">IFERROR(F18/H18*1000,"")</f>
        <v>0.264778947882361</v>
      </c>
      <c r="N18" s="23" t="n">
        <f aca="false">IFERROR(I18/H18,"")</f>
        <v>0.00165576450557043</v>
      </c>
      <c r="O18" s="18" t="n">
        <f aca="false">IF(I18&gt;0,F18/I18,"")</f>
        <v>0.159913409782354</v>
      </c>
      <c r="P18" s="16" t="n">
        <f aca="false">IFERROR(J18/H18,"")</f>
        <v>0.155371779774408</v>
      </c>
      <c r="Q18" s="21" t="n">
        <f aca="false">IFERROR(F18/J18*1000,"")</f>
        <v>1.70416370506154</v>
      </c>
      <c r="R18" s="21" t="n">
        <f aca="false">IFERROR(F18/G18*1000,"")</f>
        <v>0.350845034842669</v>
      </c>
    </row>
    <row r="19" customFormat="false" ht="15" hidden="false" customHeight="false" outlineLevel="0" collapsed="false">
      <c r="A19" s="41" t="s">
        <v>100</v>
      </c>
      <c r="B19" s="41" t="s">
        <v>131</v>
      </c>
      <c r="C19" s="41" t="s">
        <v>180</v>
      </c>
      <c r="D19" s="41" t="s">
        <v>62</v>
      </c>
      <c r="E19" s="41" t="s">
        <v>91</v>
      </c>
      <c r="F19" s="42" t="n">
        <v>621.47</v>
      </c>
      <c r="G19" s="43" t="n">
        <v>1828761</v>
      </c>
      <c r="H19" s="43" t="n">
        <v>3129739</v>
      </c>
      <c r="I19" s="43" t="n">
        <v>8099</v>
      </c>
      <c r="J19" s="43" t="n">
        <v>517190</v>
      </c>
      <c r="K19" s="43" t="n">
        <v>1828761</v>
      </c>
      <c r="L19" s="44" t="n">
        <v>1.71</v>
      </c>
      <c r="M19" s="18" t="n">
        <f aca="false">IFERROR(F19/H19*1000,"")</f>
        <v>0.198569273667868</v>
      </c>
      <c r="N19" s="23" t="n">
        <f aca="false">IFERROR(I19/H19,"")</f>
        <v>0.00258775572020542</v>
      </c>
      <c r="O19" s="18" t="n">
        <f aca="false">IF(I19&gt;0,F19/I19,"")</f>
        <v>0.0767341647116928</v>
      </c>
      <c r="P19" s="16" t="n">
        <f aca="false">IFERROR(J19/H19,"")</f>
        <v>0.165250201374619</v>
      </c>
      <c r="Q19" s="21" t="n">
        <f aca="false">IFERROR(F19/J19*1000,"")</f>
        <v>1.20162802838415</v>
      </c>
      <c r="R19" s="21" t="n">
        <f aca="false">IFERROR(F19/G19*1000,"")</f>
        <v>0.339831175314872</v>
      </c>
    </row>
    <row r="20" customFormat="false" ht="15" hidden="false" customHeight="false" outlineLevel="0" collapsed="false">
      <c r="A20" s="41" t="s">
        <v>101</v>
      </c>
      <c r="B20" s="41" t="s">
        <v>131</v>
      </c>
      <c r="C20" s="41" t="s">
        <v>181</v>
      </c>
      <c r="D20" s="41" t="s">
        <v>62</v>
      </c>
      <c r="E20" s="41" t="s">
        <v>92</v>
      </c>
      <c r="F20" s="42" t="n">
        <v>596.53</v>
      </c>
      <c r="G20" s="43" t="n">
        <v>1884610</v>
      </c>
      <c r="H20" s="43" t="n">
        <v>2365704</v>
      </c>
      <c r="I20" s="43" t="n">
        <v>6468</v>
      </c>
      <c r="J20" s="43" t="n">
        <v>448802</v>
      </c>
      <c r="K20" s="43" t="n">
        <v>1884610</v>
      </c>
      <c r="L20" s="44" t="n">
        <v>1.26</v>
      </c>
      <c r="M20" s="18" t="n">
        <f aca="false">IFERROR(F20/H20*1000,"")</f>
        <v>0.252157497303128</v>
      </c>
      <c r="N20" s="23" t="n">
        <f aca="false">IFERROR(I20/H20,"")</f>
        <v>0.00273406985827475</v>
      </c>
      <c r="O20" s="18" t="n">
        <f aca="false">IF(I20&gt;0,F20/I20,"")</f>
        <v>0.0922278911564626</v>
      </c>
      <c r="P20" s="16" t="n">
        <f aca="false">IFERROR(J20/H20,"")</f>
        <v>0.189711815172143</v>
      </c>
      <c r="Q20" s="21" t="n">
        <f aca="false">IFERROR(F20/J20*1000,"")</f>
        <v>1.32916074349045</v>
      </c>
      <c r="R20" s="21" t="n">
        <f aca="false">IFERROR(F20/G20*1000,"")</f>
        <v>0.316527026811913</v>
      </c>
    </row>
    <row r="21" customFormat="false" ht="15" hidden="false" customHeight="false" outlineLevel="0" collapsed="false">
      <c r="A21" s="41" t="s">
        <v>99</v>
      </c>
      <c r="B21" s="41" t="s">
        <v>130</v>
      </c>
      <c r="C21" s="41" t="s">
        <v>182</v>
      </c>
      <c r="D21" s="41" t="s">
        <v>62</v>
      </c>
      <c r="E21" s="41" t="s">
        <v>88</v>
      </c>
      <c r="F21" s="42" t="n">
        <v>590.39</v>
      </c>
      <c r="G21" s="43" t="n">
        <v>1501392</v>
      </c>
      <c r="H21" s="43" t="n">
        <v>1785164</v>
      </c>
      <c r="I21" s="43" t="n">
        <v>2656</v>
      </c>
      <c r="J21" s="43" t="n">
        <v>256929</v>
      </c>
      <c r="K21" s="43" t="n">
        <v>1501392</v>
      </c>
      <c r="L21" s="44" t="n">
        <v>1.19</v>
      </c>
      <c r="M21" s="18" t="n">
        <f aca="false">IFERROR(F21/H21*1000,"")</f>
        <v>0.3307203147722</v>
      </c>
      <c r="N21" s="23" t="n">
        <f aca="false">IFERROR(I21/H21,"")</f>
        <v>0.00148781848614469</v>
      </c>
      <c r="O21" s="18" t="n">
        <f aca="false">IF(I21&gt;0,F21/I21,"")</f>
        <v>0.222285391566265</v>
      </c>
      <c r="P21" s="16" t="n">
        <f aca="false">IFERROR(J21/H21,"")</f>
        <v>0.14392459180221</v>
      </c>
      <c r="Q21" s="21" t="n">
        <f aca="false">IFERROR(F21/J21*1000,"")</f>
        <v>2.29787217480316</v>
      </c>
      <c r="R21" s="21" t="n">
        <f aca="false">IFERROR(F21/G21*1000,"")</f>
        <v>0.393228417362021</v>
      </c>
    </row>
    <row r="22" customFormat="false" ht="15" hidden="false" customHeight="false" outlineLevel="0" collapsed="false">
      <c r="A22" s="41" t="s">
        <v>99</v>
      </c>
      <c r="B22" s="41" t="s">
        <v>130</v>
      </c>
      <c r="C22" s="41" t="s">
        <v>183</v>
      </c>
      <c r="D22" s="41" t="s">
        <v>62</v>
      </c>
      <c r="E22" s="41" t="s">
        <v>88</v>
      </c>
      <c r="F22" s="42" t="n">
        <v>548.48</v>
      </c>
      <c r="G22" s="43" t="n">
        <v>1472664</v>
      </c>
      <c r="H22" s="43" t="n">
        <v>1827696</v>
      </c>
      <c r="I22" s="43" t="n">
        <v>3541</v>
      </c>
      <c r="J22" s="43" t="n">
        <v>396297</v>
      </c>
      <c r="K22" s="43" t="n">
        <v>1472664</v>
      </c>
      <c r="L22" s="44" t="n">
        <v>1.24</v>
      </c>
      <c r="M22" s="18" t="n">
        <f aca="false">IFERROR(F22/H22*1000,"")</f>
        <v>0.300093669844438</v>
      </c>
      <c r="N22" s="23" t="n">
        <f aca="false">IFERROR(I22/H22,"")</f>
        <v>0.00193741191095237</v>
      </c>
      <c r="O22" s="18" t="n">
        <f aca="false">IF(I22&gt;0,F22/I22,"")</f>
        <v>0.154894097712511</v>
      </c>
      <c r="P22" s="16" t="n">
        <f aca="false">IFERROR(J22/H22,"")</f>
        <v>0.216828728628831</v>
      </c>
      <c r="Q22" s="21" t="n">
        <f aca="false">IFERROR(F22/J22*1000,"")</f>
        <v>1.38401249567875</v>
      </c>
      <c r="R22" s="21" t="n">
        <f aca="false">IFERROR(F22/G22*1000,"")</f>
        <v>0.372440692513703</v>
      </c>
    </row>
    <row r="23" customFormat="false" ht="15" hidden="false" customHeight="false" outlineLevel="0" collapsed="false">
      <c r="A23" s="41" t="s">
        <v>99</v>
      </c>
      <c r="B23" s="41" t="s">
        <v>130</v>
      </c>
      <c r="C23" s="41" t="s">
        <v>184</v>
      </c>
      <c r="D23" s="41" t="s">
        <v>62</v>
      </c>
      <c r="E23" s="41" t="s">
        <v>166</v>
      </c>
      <c r="F23" s="42" t="n">
        <v>530.97</v>
      </c>
      <c r="G23" s="43" t="n">
        <v>1340939</v>
      </c>
      <c r="H23" s="43" t="n">
        <v>1577573</v>
      </c>
      <c r="I23" s="43" t="n">
        <v>4210</v>
      </c>
      <c r="J23" s="43" t="n">
        <v>277724</v>
      </c>
      <c r="K23" s="43" t="n">
        <v>1340939</v>
      </c>
      <c r="L23" s="44" t="n">
        <v>1.18</v>
      </c>
      <c r="M23" s="18" t="n">
        <f aca="false">IFERROR(F23/H23*1000,"")</f>
        <v>0.336573965198441</v>
      </c>
      <c r="N23" s="23" t="n">
        <f aca="false">IFERROR(I23/H23,"")</f>
        <v>0.00266865622066301</v>
      </c>
      <c r="O23" s="18" t="n">
        <f aca="false">IF(I23&gt;0,F23/I23,"")</f>
        <v>0.126121140142518</v>
      </c>
      <c r="P23" s="16" t="n">
        <f aca="false">IFERROR(J23/H23,"")</f>
        <v>0.176045102191784</v>
      </c>
      <c r="Q23" s="21" t="n">
        <f aca="false">IFERROR(F23/J23*1000,"")</f>
        <v>1.91186213650963</v>
      </c>
      <c r="R23" s="21" t="n">
        <f aca="false">IFERROR(F23/G23*1000,"")</f>
        <v>0.395968795001115</v>
      </c>
    </row>
    <row r="24" customFormat="false" ht="15" hidden="false" customHeight="false" outlineLevel="0" collapsed="false">
      <c r="A24" s="41" t="s">
        <v>99</v>
      </c>
      <c r="B24" s="41" t="s">
        <v>130</v>
      </c>
      <c r="C24" s="41" t="s">
        <v>185</v>
      </c>
      <c r="D24" s="41" t="s">
        <v>62</v>
      </c>
      <c r="E24" s="41" t="s">
        <v>88</v>
      </c>
      <c r="F24" s="42" t="n">
        <v>475.15</v>
      </c>
      <c r="G24" s="43" t="n">
        <v>1495013</v>
      </c>
      <c r="H24" s="43" t="n">
        <v>1896215</v>
      </c>
      <c r="I24" s="43" t="n">
        <v>4661</v>
      </c>
      <c r="J24" s="43" t="n">
        <v>397287</v>
      </c>
      <c r="K24" s="43" t="n">
        <v>1495013</v>
      </c>
      <c r="L24" s="44" t="n">
        <v>1.27</v>
      </c>
      <c r="M24" s="18" t="n">
        <f aca="false">IFERROR(F24/H24*1000,"")</f>
        <v>0.250578125370804</v>
      </c>
      <c r="N24" s="23" t="n">
        <f aca="false">IFERROR(I24/H24,"")</f>
        <v>0.00245805459823912</v>
      </c>
      <c r="O24" s="18" t="n">
        <f aca="false">IF(I24&gt;0,F24/I24,"")</f>
        <v>0.101941643424158</v>
      </c>
      <c r="P24" s="16" t="n">
        <f aca="false">IFERROR(J24/H24,"")</f>
        <v>0.209515798577693</v>
      </c>
      <c r="Q24" s="21" t="n">
        <f aca="false">IFERROR(F24/J24*1000,"")</f>
        <v>1.19598678033764</v>
      </c>
      <c r="R24" s="21" t="n">
        <f aca="false">IFERROR(F24/G24*1000,"")</f>
        <v>0.31782332327545</v>
      </c>
    </row>
    <row r="25" customFormat="false" ht="15" hidden="false" customHeight="false" outlineLevel="0" collapsed="false">
      <c r="A25" s="41" t="s">
        <v>99</v>
      </c>
      <c r="B25" s="41" t="s">
        <v>130</v>
      </c>
      <c r="C25" s="41" t="s">
        <v>186</v>
      </c>
      <c r="D25" s="41" t="s">
        <v>62</v>
      </c>
      <c r="E25" s="41" t="s">
        <v>89</v>
      </c>
      <c r="F25" s="42" t="n">
        <v>433.33</v>
      </c>
      <c r="G25" s="43" t="n">
        <v>1023195</v>
      </c>
      <c r="H25" s="43" t="n">
        <v>1163264</v>
      </c>
      <c r="I25" s="43" t="n">
        <v>2699</v>
      </c>
      <c r="J25" s="43" t="n">
        <v>236110</v>
      </c>
      <c r="K25" s="43" t="n">
        <v>1023195</v>
      </c>
      <c r="L25" s="44" t="n">
        <v>1.14</v>
      </c>
      <c r="M25" s="18" t="n">
        <f aca="false">IFERROR(F25/H25*1000,"")</f>
        <v>0.372512172645247</v>
      </c>
      <c r="N25" s="23" t="n">
        <f aca="false">IFERROR(I25/H25,"")</f>
        <v>0.00232019558758803</v>
      </c>
      <c r="O25" s="18" t="n">
        <f aca="false">IF(I25&gt;0,F25/I25,"")</f>
        <v>0.160552056317155</v>
      </c>
      <c r="P25" s="16" t="n">
        <f aca="false">IFERROR(J25/H25,"")</f>
        <v>0.202971982284331</v>
      </c>
      <c r="Q25" s="21" t="n">
        <f aca="false">IFERROR(F25/J25*1000,"")</f>
        <v>1.83528863665241</v>
      </c>
      <c r="R25" s="21" t="n">
        <f aca="false">IFERROR(F25/G25*1000,"")</f>
        <v>0.423506760685891</v>
      </c>
    </row>
    <row r="26" customFormat="false" ht="15" hidden="false" customHeight="false" outlineLevel="0" collapsed="false">
      <c r="A26" s="41" t="s">
        <v>99</v>
      </c>
      <c r="B26" s="41" t="s">
        <v>130</v>
      </c>
      <c r="C26" s="41" t="s">
        <v>187</v>
      </c>
      <c r="D26" s="41" t="s">
        <v>62</v>
      </c>
      <c r="E26" s="41" t="s">
        <v>88</v>
      </c>
      <c r="F26" s="42" t="n">
        <v>397.04</v>
      </c>
      <c r="G26" s="43" t="n">
        <v>1316964</v>
      </c>
      <c r="H26" s="43" t="n">
        <v>1563699</v>
      </c>
      <c r="I26" s="43" t="n">
        <v>3240</v>
      </c>
      <c r="J26" s="43" t="n">
        <v>326851</v>
      </c>
      <c r="K26" s="43" t="n">
        <v>1316964</v>
      </c>
      <c r="L26" s="44" t="n">
        <v>1.19</v>
      </c>
      <c r="M26" s="18" t="n">
        <f aca="false">IFERROR(F26/H26*1000,"")</f>
        <v>0.253910759039943</v>
      </c>
      <c r="N26" s="23" t="n">
        <f aca="false">IFERROR(I26/H26,"")</f>
        <v>0.00207201002238922</v>
      </c>
      <c r="O26" s="18" t="n">
        <f aca="false">IF(I26&gt;0,F26/I26,"")</f>
        <v>0.122543209876543</v>
      </c>
      <c r="P26" s="16" t="n">
        <f aca="false">IFERROR(J26/H26,"")</f>
        <v>0.209024243156771</v>
      </c>
      <c r="Q26" s="21" t="n">
        <f aca="false">IFERROR(F26/J26*1000,"")</f>
        <v>1.2147431092455</v>
      </c>
      <c r="R26" s="21" t="n">
        <f aca="false">IFERROR(F26/G26*1000,"")</f>
        <v>0.301481285745093</v>
      </c>
    </row>
    <row r="27" customFormat="false" ht="15" hidden="false" customHeight="false" outlineLevel="0" collapsed="false">
      <c r="A27" s="41" t="s">
        <v>99</v>
      </c>
      <c r="B27" s="41" t="s">
        <v>130</v>
      </c>
      <c r="C27" s="41" t="s">
        <v>188</v>
      </c>
      <c r="D27" s="41" t="s">
        <v>62</v>
      </c>
      <c r="E27" s="41" t="s">
        <v>88</v>
      </c>
      <c r="F27" s="42" t="n">
        <v>395.34</v>
      </c>
      <c r="G27" s="43" t="n">
        <v>1384809</v>
      </c>
      <c r="H27" s="43" t="n">
        <v>1598164</v>
      </c>
      <c r="I27" s="43" t="n">
        <v>2991</v>
      </c>
      <c r="J27" s="43" t="n">
        <v>253244</v>
      </c>
      <c r="K27" s="43" t="n">
        <v>1384809</v>
      </c>
      <c r="L27" s="44" t="n">
        <v>1.15</v>
      </c>
      <c r="M27" s="18" t="n">
        <f aca="false">IFERROR(F27/H27*1000,"")</f>
        <v>0.247371358634033</v>
      </c>
      <c r="N27" s="23" t="n">
        <f aca="false">IFERROR(I27/H27,"")</f>
        <v>0.00187152257215154</v>
      </c>
      <c r="O27" s="18" t="n">
        <f aca="false">IF(I27&gt;0,F27/I27,"")</f>
        <v>0.132176529588766</v>
      </c>
      <c r="P27" s="16" t="n">
        <f aca="false">IFERROR(J27/H27,"")</f>
        <v>0.158459332083566</v>
      </c>
      <c r="Q27" s="21" t="n">
        <f aca="false">IFERROR(F27/J27*1000,"")</f>
        <v>1.56110312583911</v>
      </c>
      <c r="R27" s="21" t="n">
        <f aca="false">IFERROR(F27/G27*1000,"")</f>
        <v>0.285483413236049</v>
      </c>
    </row>
    <row r="28" customFormat="false" ht="15" hidden="false" customHeight="false" outlineLevel="0" collapsed="false">
      <c r="A28" s="41" t="s">
        <v>101</v>
      </c>
      <c r="B28" s="41" t="s">
        <v>131</v>
      </c>
      <c r="C28" s="41" t="s">
        <v>189</v>
      </c>
      <c r="D28" s="41" t="s">
        <v>62</v>
      </c>
      <c r="E28" s="41" t="s">
        <v>162</v>
      </c>
      <c r="F28" s="42" t="n">
        <v>373.61</v>
      </c>
      <c r="G28" s="43" t="n">
        <v>2000093</v>
      </c>
      <c r="H28" s="43" t="n">
        <v>2455530</v>
      </c>
      <c r="I28" s="43" t="n">
        <v>5678</v>
      </c>
      <c r="J28" s="43" t="n">
        <v>381279</v>
      </c>
      <c r="K28" s="43" t="n">
        <v>2000093</v>
      </c>
      <c r="L28" s="44" t="n">
        <v>1.23</v>
      </c>
      <c r="M28" s="18" t="n">
        <f aca="false">IFERROR(F28/H28*1000,"")</f>
        <v>0.152150452244526</v>
      </c>
      <c r="N28" s="23" t="n">
        <f aca="false">IFERROR(I28/H28,"")</f>
        <v>0.00231233175729883</v>
      </c>
      <c r="O28" s="18" t="n">
        <f aca="false">IF(I28&gt;0,F28/I28,"")</f>
        <v>0.0657995773159563</v>
      </c>
      <c r="P28" s="16" t="n">
        <f aca="false">IFERROR(J28/H28,"")</f>
        <v>0.155273606919891</v>
      </c>
      <c r="Q28" s="21" t="n">
        <f aca="false">IFERROR(F28/J28*1000,"")</f>
        <v>0.979886120137747</v>
      </c>
      <c r="R28" s="21" t="n">
        <f aca="false">IFERROR(F28/G28*1000,"")</f>
        <v>0.1867963139714</v>
      </c>
    </row>
    <row r="29" customFormat="false" ht="15" hidden="false" customHeight="false" outlineLevel="0" collapsed="false">
      <c r="A29" s="41" t="s">
        <v>99</v>
      </c>
      <c r="B29" s="41" t="s">
        <v>130</v>
      </c>
      <c r="C29" s="41" t="s">
        <v>190</v>
      </c>
      <c r="D29" s="41" t="s">
        <v>62</v>
      </c>
      <c r="E29" s="41" t="s">
        <v>88</v>
      </c>
      <c r="F29" s="42" t="n">
        <v>366.26</v>
      </c>
      <c r="G29" s="43" t="n">
        <v>1211084</v>
      </c>
      <c r="H29" s="43" t="n">
        <v>1420238</v>
      </c>
      <c r="I29" s="43" t="n">
        <v>3820</v>
      </c>
      <c r="J29" s="43" t="n">
        <v>442684</v>
      </c>
      <c r="K29" s="43" t="n">
        <v>1211084</v>
      </c>
      <c r="L29" s="44" t="n">
        <v>1.17</v>
      </c>
      <c r="M29" s="18" t="n">
        <f aca="false">IFERROR(F29/H29*1000,"")</f>
        <v>0.257886354258934</v>
      </c>
      <c r="N29" s="23" t="n">
        <f aca="false">IFERROR(I29/H29,"")</f>
        <v>0.00268969003786689</v>
      </c>
      <c r="O29" s="18" t="n">
        <f aca="false">IF(I29&gt;0,F29/I29,"")</f>
        <v>0.0958795811518325</v>
      </c>
      <c r="P29" s="16" t="n">
        <f aca="false">IFERROR(J29/H29,"")</f>
        <v>0.311697053592426</v>
      </c>
      <c r="Q29" s="21" t="n">
        <f aca="false">IFERROR(F29/J29*1000,"")</f>
        <v>0.827362181601323</v>
      </c>
      <c r="R29" s="21" t="n">
        <f aca="false">IFERROR(F29/G29*1000,"")</f>
        <v>0.30242328360378</v>
      </c>
    </row>
    <row r="30" customFormat="false" ht="15" hidden="false" customHeight="false" outlineLevel="0" collapsed="false">
      <c r="A30" s="41" t="s">
        <v>100</v>
      </c>
      <c r="B30" s="41" t="s">
        <v>131</v>
      </c>
      <c r="C30" s="41" t="s">
        <v>191</v>
      </c>
      <c r="D30" s="41" t="s">
        <v>62</v>
      </c>
      <c r="E30" s="41" t="s">
        <v>93</v>
      </c>
      <c r="F30" s="42" t="n">
        <v>365.28</v>
      </c>
      <c r="G30" s="43" t="n">
        <v>1460602</v>
      </c>
      <c r="H30" s="43" t="n">
        <v>1623266</v>
      </c>
      <c r="I30" s="43" t="n">
        <v>2907</v>
      </c>
      <c r="J30" s="43" t="n">
        <v>540661</v>
      </c>
      <c r="K30" s="43" t="n">
        <v>1460602</v>
      </c>
      <c r="L30" s="44" t="n">
        <v>1.11</v>
      </c>
      <c r="M30" s="18" t="n">
        <f aca="false">IFERROR(F30/H30*1000,"")</f>
        <v>0.225027814295377</v>
      </c>
      <c r="N30" s="23" t="n">
        <f aca="false">IFERROR(I30/H30,"")</f>
        <v>0.00179083403459445</v>
      </c>
      <c r="O30" s="18" t="n">
        <f aca="false">IF(I30&gt;0,F30/I30,"")</f>
        <v>0.125655314757482</v>
      </c>
      <c r="P30" s="16" t="n">
        <f aca="false">IFERROR(J30/H30,"")</f>
        <v>0.333069872713406</v>
      </c>
      <c r="Q30" s="21" t="n">
        <f aca="false">IFERROR(F30/J30*1000,"")</f>
        <v>0.675617438653796</v>
      </c>
      <c r="R30" s="21" t="n">
        <f aca="false">IFERROR(F30/G30*1000,"")</f>
        <v>0.250088662072214</v>
      </c>
    </row>
    <row r="31" customFormat="false" ht="15" hidden="false" customHeight="false" outlineLevel="0" collapsed="false">
      <c r="A31" s="41" t="s">
        <v>99</v>
      </c>
      <c r="B31" s="41" t="s">
        <v>130</v>
      </c>
      <c r="C31" s="41" t="s">
        <v>192</v>
      </c>
      <c r="D31" s="41" t="s">
        <v>62</v>
      </c>
      <c r="E31" s="41" t="s">
        <v>88</v>
      </c>
      <c r="F31" s="42" t="n">
        <v>342.06</v>
      </c>
      <c r="G31" s="43" t="n">
        <v>980440</v>
      </c>
      <c r="H31" s="43" t="n">
        <v>1104793</v>
      </c>
      <c r="I31" s="43" t="n">
        <v>2495</v>
      </c>
      <c r="J31" s="43" t="n">
        <v>323873</v>
      </c>
      <c r="K31" s="43" t="n">
        <v>980440</v>
      </c>
      <c r="L31" s="44" t="n">
        <v>1.13</v>
      </c>
      <c r="M31" s="18" t="n">
        <f aca="false">IFERROR(F31/H31*1000,"")</f>
        <v>0.309614561279805</v>
      </c>
      <c r="N31" s="23" t="n">
        <f aca="false">IFERROR(I31/H31,"")</f>
        <v>0.00225834160788492</v>
      </c>
      <c r="O31" s="18" t="n">
        <f aca="false">IF(I31&gt;0,F31/I31,"")</f>
        <v>0.137098196392786</v>
      </c>
      <c r="P31" s="16" t="n">
        <f aca="false">IFERROR(J31/H31,"")</f>
        <v>0.293152653936077</v>
      </c>
      <c r="Q31" s="21" t="n">
        <f aca="false">IFERROR(F31/J31*1000,"")</f>
        <v>1.05615472731595</v>
      </c>
      <c r="R31" s="21" t="n">
        <f aca="false">IFERROR(F31/G31*1000,"")</f>
        <v>0.348884174452287</v>
      </c>
    </row>
    <row r="32" customFormat="false" ht="15" hidden="false" customHeight="false" outlineLevel="0" collapsed="false">
      <c r="A32" s="41" t="s">
        <v>99</v>
      </c>
      <c r="B32" s="41" t="s">
        <v>130</v>
      </c>
      <c r="C32" s="41" t="s">
        <v>193</v>
      </c>
      <c r="D32" s="41" t="s">
        <v>62</v>
      </c>
      <c r="E32" s="41" t="s">
        <v>88</v>
      </c>
      <c r="F32" s="42" t="n">
        <v>341.92</v>
      </c>
      <c r="G32" s="43" t="n">
        <v>881594</v>
      </c>
      <c r="H32" s="43" t="n">
        <v>964574</v>
      </c>
      <c r="I32" s="43" t="n">
        <v>2148</v>
      </c>
      <c r="J32" s="43" t="n">
        <v>247632</v>
      </c>
      <c r="K32" s="43" t="n">
        <v>881594</v>
      </c>
      <c r="L32" s="44" t="n">
        <v>1.09</v>
      </c>
      <c r="M32" s="18" t="n">
        <f aca="false">IFERROR(F32/H32*1000,"")</f>
        <v>0.354477727991839</v>
      </c>
      <c r="N32" s="23" t="n">
        <f aca="false">IFERROR(I32/H32,"")</f>
        <v>0.00222688979798336</v>
      </c>
      <c r="O32" s="18" t="n">
        <f aca="false">IF(I32&gt;0,F32/I32,"")</f>
        <v>0.159180633147114</v>
      </c>
      <c r="P32" s="16" t="n">
        <f aca="false">IFERROR(J32/H32,"")</f>
        <v>0.256726803749635</v>
      </c>
      <c r="Q32" s="21" t="n">
        <f aca="false">IFERROR(F32/J32*1000,"")</f>
        <v>1.38075854493765</v>
      </c>
      <c r="R32" s="21" t="n">
        <f aca="false">IFERROR(F32/G32*1000,"")</f>
        <v>0.387842929965494</v>
      </c>
    </row>
    <row r="33" customFormat="false" ht="15" hidden="false" customHeight="false" outlineLevel="0" collapsed="false">
      <c r="A33" s="41" t="s">
        <v>102</v>
      </c>
      <c r="B33" s="41" t="s">
        <v>131</v>
      </c>
      <c r="C33" s="41" t="s">
        <v>194</v>
      </c>
      <c r="D33" s="41" t="s">
        <v>66</v>
      </c>
      <c r="E33" s="41" t="s">
        <v>92</v>
      </c>
      <c r="F33" s="42" t="n">
        <v>329.63</v>
      </c>
      <c r="G33" s="43" t="n">
        <v>239668</v>
      </c>
      <c r="H33" s="43" t="n">
        <v>468914</v>
      </c>
      <c r="I33" s="43" t="n">
        <v>0</v>
      </c>
      <c r="J33" s="43" t="n">
        <v>139371</v>
      </c>
      <c r="K33" s="43" t="n">
        <v>2717</v>
      </c>
      <c r="L33" s="44" t="n">
        <v>1.96</v>
      </c>
      <c r="M33" s="18" t="n">
        <f aca="false">IFERROR(F33/H33*1000,"")</f>
        <v>0.702964722742337</v>
      </c>
      <c r="N33" s="23" t="n">
        <f aca="false">IFERROR(I33/H33,"")</f>
        <v>0</v>
      </c>
      <c r="O33" s="18" t="str">
        <f aca="false">IF(I33&gt;0,F33/I33,"")</f>
        <v/>
      </c>
      <c r="P33" s="16" t="n">
        <f aca="false">IFERROR(J33/H33,"")</f>
        <v>0.297220812345121</v>
      </c>
      <c r="Q33" s="21" t="n">
        <f aca="false">IFERROR(F33/J33*1000,"")</f>
        <v>2.36512617402473</v>
      </c>
      <c r="R33" s="21" t="n">
        <f aca="false">IFERROR(F33/G33*1000,"")</f>
        <v>1.37536091593371</v>
      </c>
    </row>
    <row r="34" customFormat="false" ht="15" hidden="false" customHeight="false" outlineLevel="0" collapsed="false">
      <c r="A34" s="41" t="s">
        <v>99</v>
      </c>
      <c r="B34" s="41" t="s">
        <v>130</v>
      </c>
      <c r="C34" s="41" t="s">
        <v>195</v>
      </c>
      <c r="D34" s="41" t="s">
        <v>62</v>
      </c>
      <c r="E34" s="41" t="s">
        <v>88</v>
      </c>
      <c r="F34" s="42" t="n">
        <v>325.38</v>
      </c>
      <c r="G34" s="43" t="n">
        <v>1127678</v>
      </c>
      <c r="H34" s="43" t="n">
        <v>1283523</v>
      </c>
      <c r="I34" s="43" t="n">
        <v>4737</v>
      </c>
      <c r="J34" s="43" t="n">
        <v>408243</v>
      </c>
      <c r="K34" s="43" t="n">
        <v>1127678</v>
      </c>
      <c r="L34" s="44" t="n">
        <v>1.14</v>
      </c>
      <c r="M34" s="18" t="n">
        <f aca="false">IFERROR(F34/H34*1000,"")</f>
        <v>0.253505391021431</v>
      </c>
      <c r="N34" s="23" t="n">
        <f aca="false">IFERROR(I34/H34,"")</f>
        <v>0.00369062338579052</v>
      </c>
      <c r="O34" s="18" t="n">
        <f aca="false">IF(I34&gt;0,F34/I34,"")</f>
        <v>0.0686890436985434</v>
      </c>
      <c r="P34" s="16" t="n">
        <f aca="false">IFERROR(J34/H34,"")</f>
        <v>0.31806442112841</v>
      </c>
      <c r="Q34" s="21" t="n">
        <f aca="false">IFERROR(F34/J34*1000,"")</f>
        <v>0.797025301107429</v>
      </c>
      <c r="R34" s="21" t="n">
        <f aca="false">IFERROR(F34/G34*1000,"")</f>
        <v>0.288539813670214</v>
      </c>
    </row>
    <row r="35" customFormat="false" ht="15" hidden="false" customHeight="false" outlineLevel="0" collapsed="false">
      <c r="A35" s="41" t="s">
        <v>100</v>
      </c>
      <c r="B35" s="41" t="s">
        <v>131</v>
      </c>
      <c r="C35" s="41" t="s">
        <v>196</v>
      </c>
      <c r="D35" s="41" t="s">
        <v>62</v>
      </c>
      <c r="E35" s="41" t="s">
        <v>93</v>
      </c>
      <c r="F35" s="42" t="n">
        <v>317.07</v>
      </c>
      <c r="G35" s="43" t="n">
        <v>1286816</v>
      </c>
      <c r="H35" s="43" t="n">
        <v>1479062</v>
      </c>
      <c r="I35" s="43" t="n">
        <v>4700</v>
      </c>
      <c r="J35" s="43" t="n">
        <v>441164</v>
      </c>
      <c r="K35" s="43" t="n">
        <v>1286816</v>
      </c>
      <c r="L35" s="44" t="n">
        <v>1.15</v>
      </c>
      <c r="M35" s="18" t="n">
        <f aca="false">IFERROR(F35/H35*1000,"")</f>
        <v>0.214372352207007</v>
      </c>
      <c r="N35" s="23" t="n">
        <f aca="false">IFERROR(I35/H35,"")</f>
        <v>0.00317768964384184</v>
      </c>
      <c r="O35" s="18" t="n">
        <f aca="false">IF(I35&gt;0,F35/I35,"")</f>
        <v>0.0674617021276596</v>
      </c>
      <c r="P35" s="16" t="n">
        <f aca="false">IFERROR(J35/H35,"")</f>
        <v>0.298272824262945</v>
      </c>
      <c r="Q35" s="21" t="n">
        <f aca="false">IFERROR(F35/J35*1000,"")</f>
        <v>0.718712315601454</v>
      </c>
      <c r="R35" s="21" t="n">
        <f aca="false">IFERROR(F35/G35*1000,"")</f>
        <v>0.246398863551588</v>
      </c>
    </row>
    <row r="36" customFormat="false" ht="15" hidden="false" customHeight="false" outlineLevel="0" collapsed="false">
      <c r="A36" s="41" t="s">
        <v>99</v>
      </c>
      <c r="B36" s="41" t="s">
        <v>130</v>
      </c>
      <c r="C36" s="41" t="s">
        <v>197</v>
      </c>
      <c r="D36" s="41" t="s">
        <v>62</v>
      </c>
      <c r="E36" s="41" t="s">
        <v>164</v>
      </c>
      <c r="F36" s="42" t="n">
        <v>306.97</v>
      </c>
      <c r="G36" s="43" t="n">
        <v>1140615</v>
      </c>
      <c r="H36" s="43" t="n">
        <v>1256099</v>
      </c>
      <c r="I36" s="43" t="n">
        <v>2639</v>
      </c>
      <c r="J36" s="43" t="n">
        <v>588836</v>
      </c>
      <c r="K36" s="43" t="n">
        <v>1140615</v>
      </c>
      <c r="L36" s="44" t="n">
        <v>1.1</v>
      </c>
      <c r="M36" s="18" t="n">
        <f aca="false">IFERROR(F36/H36*1000,"")</f>
        <v>0.244383603521697</v>
      </c>
      <c r="N36" s="23" t="n">
        <f aca="false">IFERROR(I36/H36,"")</f>
        <v>0.00210094904939818</v>
      </c>
      <c r="O36" s="18" t="n">
        <f aca="false">IF(I36&gt;0,F36/I36,"")</f>
        <v>0.116320575975748</v>
      </c>
      <c r="P36" s="16" t="n">
        <f aca="false">IFERROR(J36/H36,"")</f>
        <v>0.468781521201752</v>
      </c>
      <c r="Q36" s="21" t="n">
        <f aca="false">IFERROR(F36/J36*1000,"")</f>
        <v>0.521316631455957</v>
      </c>
      <c r="R36" s="21" t="n">
        <f aca="false">IFERROR(F36/G36*1000,"")</f>
        <v>0.26912674302898</v>
      </c>
    </row>
    <row r="37" customFormat="false" ht="15" hidden="false" customHeight="false" outlineLevel="0" collapsed="false">
      <c r="A37" s="41" t="s">
        <v>103</v>
      </c>
      <c r="B37" s="41" t="s">
        <v>132</v>
      </c>
      <c r="C37" s="41" t="s">
        <v>198</v>
      </c>
      <c r="D37" s="41" t="s">
        <v>66</v>
      </c>
      <c r="E37" s="41" t="s">
        <v>88</v>
      </c>
      <c r="F37" s="42" t="n">
        <v>297.48</v>
      </c>
      <c r="G37" s="43" t="n">
        <v>242424</v>
      </c>
      <c r="H37" s="43" t="n">
        <v>419833</v>
      </c>
      <c r="I37" s="43" t="n">
        <v>0</v>
      </c>
      <c r="J37" s="43" t="n">
        <v>124641</v>
      </c>
      <c r="K37" s="43" t="n">
        <v>1339</v>
      </c>
      <c r="L37" s="44" t="n">
        <v>1.73</v>
      </c>
      <c r="M37" s="18" t="n">
        <f aca="false">IFERROR(F37/H37*1000,"")</f>
        <v>0.708567454202028</v>
      </c>
      <c r="N37" s="23" t="n">
        <f aca="false">IFERROR(I37/H37,"")</f>
        <v>0</v>
      </c>
      <c r="O37" s="18" t="str">
        <f aca="false">IF(I37&gt;0,F37/I37,"")</f>
        <v/>
      </c>
      <c r="P37" s="16" t="n">
        <f aca="false">IFERROR(J37/H37,"")</f>
        <v>0.296882331784305</v>
      </c>
      <c r="Q37" s="21" t="n">
        <f aca="false">IFERROR(F37/J37*1000,"")</f>
        <v>2.38669458685344</v>
      </c>
      <c r="R37" s="21" t="n">
        <f aca="false">IFERROR(F37/G37*1000,"")</f>
        <v>1.22710622710623</v>
      </c>
    </row>
    <row r="38" customFormat="false" ht="15" hidden="false" customHeight="false" outlineLevel="0" collapsed="false">
      <c r="A38" s="41" t="s">
        <v>99</v>
      </c>
      <c r="B38" s="41" t="s">
        <v>130</v>
      </c>
      <c r="C38" s="41" t="s">
        <v>199</v>
      </c>
      <c r="D38" s="41" t="s">
        <v>62</v>
      </c>
      <c r="E38" s="41" t="s">
        <v>88</v>
      </c>
      <c r="F38" s="42" t="n">
        <v>276.71</v>
      </c>
      <c r="G38" s="43" t="n">
        <v>840224</v>
      </c>
      <c r="H38" s="43" t="n">
        <v>977863</v>
      </c>
      <c r="I38" s="43" t="n">
        <v>1361</v>
      </c>
      <c r="J38" s="43" t="n">
        <v>126649</v>
      </c>
      <c r="K38" s="43" t="n">
        <v>840224</v>
      </c>
      <c r="L38" s="44" t="n">
        <v>1.16</v>
      </c>
      <c r="M38" s="18" t="n">
        <f aca="false">IFERROR(F38/H38*1000,"")</f>
        <v>0.282974199862353</v>
      </c>
      <c r="N38" s="23" t="n">
        <f aca="false">IFERROR(I38/H38,"")</f>
        <v>0.00139181050924311</v>
      </c>
      <c r="O38" s="18" t="n">
        <f aca="false">IF(I38&gt;0,F38/I38,"")</f>
        <v>0.203313739897134</v>
      </c>
      <c r="P38" s="16" t="n">
        <f aca="false">IFERROR(J38/H38,"")</f>
        <v>0.129516097858289</v>
      </c>
      <c r="Q38" s="21" t="n">
        <f aca="false">IFERROR(F38/J38*1000,"")</f>
        <v>2.18485736168466</v>
      </c>
      <c r="R38" s="21" t="n">
        <f aca="false">IFERROR(F38/G38*1000,"")</f>
        <v>0.329328845641162</v>
      </c>
    </row>
    <row r="39" customFormat="false" ht="15" hidden="false" customHeight="false" outlineLevel="0" collapsed="false">
      <c r="A39" s="41" t="s">
        <v>104</v>
      </c>
      <c r="B39" s="41" t="s">
        <v>133</v>
      </c>
      <c r="C39" s="41" t="s">
        <v>133</v>
      </c>
      <c r="D39" s="41" t="s">
        <v>66</v>
      </c>
      <c r="E39" s="41" t="s">
        <v>147</v>
      </c>
      <c r="F39" s="42" t="n">
        <v>267.56</v>
      </c>
      <c r="G39" s="43" t="n">
        <v>146099</v>
      </c>
      <c r="H39" s="43" t="n">
        <v>258263</v>
      </c>
      <c r="I39" s="43" t="n">
        <v>0</v>
      </c>
      <c r="J39" s="43" t="n">
        <v>66068</v>
      </c>
      <c r="K39" s="43" t="n">
        <v>3336</v>
      </c>
      <c r="L39" s="44" t="n">
        <v>1.77</v>
      </c>
      <c r="M39" s="18" t="n">
        <f aca="false">IFERROR(F39/H39*1000,"")</f>
        <v>1.03599818789374</v>
      </c>
      <c r="N39" s="23" t="n">
        <f aca="false">IFERROR(I39/H39,"")</f>
        <v>0</v>
      </c>
      <c r="O39" s="18" t="str">
        <f aca="false">IF(I39&gt;0,F39/I39,"")</f>
        <v/>
      </c>
      <c r="P39" s="16" t="n">
        <f aca="false">IFERROR(J39/H39,"")</f>
        <v>0.255816744946043</v>
      </c>
      <c r="Q39" s="21" t="n">
        <f aca="false">IFERROR(F39/J39*1000,"")</f>
        <v>4.04976690682327</v>
      </c>
      <c r="R39" s="21" t="n">
        <f aca="false">IFERROR(F39/G39*1000,"")</f>
        <v>1.83136092649505</v>
      </c>
    </row>
    <row r="40" customFormat="false" ht="15" hidden="false" customHeight="false" outlineLevel="0" collapsed="false">
      <c r="A40" s="41" t="s">
        <v>99</v>
      </c>
      <c r="B40" s="41" t="s">
        <v>130</v>
      </c>
      <c r="C40" s="41" t="s">
        <v>200</v>
      </c>
      <c r="D40" s="41" t="s">
        <v>62</v>
      </c>
      <c r="E40" s="41" t="s">
        <v>88</v>
      </c>
      <c r="F40" s="42" t="n">
        <v>261.11</v>
      </c>
      <c r="G40" s="43" t="n">
        <v>938390</v>
      </c>
      <c r="H40" s="43" t="n">
        <v>1027677</v>
      </c>
      <c r="I40" s="43" t="n">
        <v>2374</v>
      </c>
      <c r="J40" s="43" t="n">
        <v>523040</v>
      </c>
      <c r="K40" s="43" t="n">
        <v>938390</v>
      </c>
      <c r="L40" s="44" t="n">
        <v>1.1</v>
      </c>
      <c r="M40" s="18" t="n">
        <f aca="false">IFERROR(F40/H40*1000,"")</f>
        <v>0.254077886339774</v>
      </c>
      <c r="N40" s="23" t="n">
        <f aca="false">IFERROR(I40/H40,"")</f>
        <v>0.00231006434901238</v>
      </c>
      <c r="O40" s="18" t="n">
        <f aca="false">IF(I40&gt;0,F40/I40,"")</f>
        <v>0.109987363100253</v>
      </c>
      <c r="P40" s="16" t="n">
        <f aca="false">IFERROR(J40/H40,"")</f>
        <v>0.508953688756292</v>
      </c>
      <c r="Q40" s="21" t="n">
        <f aca="false">IFERROR(F40/J40*1000,"")</f>
        <v>0.499216121137963</v>
      </c>
      <c r="R40" s="21" t="n">
        <f aca="false">IFERROR(F40/G40*1000,"")</f>
        <v>0.278253178316052</v>
      </c>
    </row>
    <row r="41" customFormat="false" ht="15" hidden="false" customHeight="false" outlineLevel="0" collapsed="false">
      <c r="A41" s="41" t="s">
        <v>103</v>
      </c>
      <c r="B41" s="41" t="s">
        <v>132</v>
      </c>
      <c r="C41" s="41" t="s">
        <v>201</v>
      </c>
      <c r="D41" s="41" t="s">
        <v>66</v>
      </c>
      <c r="E41" s="41" t="s">
        <v>88</v>
      </c>
      <c r="F41" s="42" t="n">
        <v>145.49</v>
      </c>
      <c r="G41" s="43" t="n">
        <v>83307</v>
      </c>
      <c r="H41" s="43" t="n">
        <v>133313</v>
      </c>
      <c r="I41" s="43" t="n">
        <v>0</v>
      </c>
      <c r="J41" s="43" t="n">
        <v>40924</v>
      </c>
      <c r="K41" s="43" t="n">
        <v>943</v>
      </c>
      <c r="L41" s="44" t="n">
        <v>1.6</v>
      </c>
      <c r="M41" s="18" t="n">
        <f aca="false">IFERROR(F41/H41*1000,"")</f>
        <v>1.09134142956801</v>
      </c>
      <c r="N41" s="23" t="n">
        <f aca="false">IFERROR(I41/H41,"")</f>
        <v>0</v>
      </c>
      <c r="O41" s="18" t="str">
        <f aca="false">IF(I41&gt;0,F41/I41,"")</f>
        <v/>
      </c>
      <c r="P41" s="16" t="n">
        <f aca="false">IFERROR(J41/H41,"")</f>
        <v>0.30697681396413</v>
      </c>
      <c r="Q41" s="21" t="n">
        <f aca="false">IFERROR(F41/J41*1000,"")</f>
        <v>3.55512657609227</v>
      </c>
      <c r="R41" s="21" t="n">
        <f aca="false">IFERROR(F41/G41*1000,"")</f>
        <v>1.7464318724717</v>
      </c>
    </row>
    <row r="42" customFormat="false" ht="15" hidden="false" customHeight="false" outlineLevel="0" collapsed="false">
      <c r="A42" s="41" t="s">
        <v>99</v>
      </c>
      <c r="B42" s="41" t="s">
        <v>130</v>
      </c>
      <c r="C42" s="41" t="s">
        <v>202</v>
      </c>
      <c r="D42" s="41" t="s">
        <v>62</v>
      </c>
      <c r="E42" s="41" t="s">
        <v>88</v>
      </c>
      <c r="F42" s="42" t="n">
        <v>143.62</v>
      </c>
      <c r="G42" s="43" t="n">
        <v>480427</v>
      </c>
      <c r="H42" s="43" t="n">
        <v>501667</v>
      </c>
      <c r="I42" s="43" t="n">
        <v>1141</v>
      </c>
      <c r="J42" s="43" t="n">
        <v>141977</v>
      </c>
      <c r="K42" s="43" t="n">
        <v>480427</v>
      </c>
      <c r="L42" s="44" t="n">
        <v>1.04</v>
      </c>
      <c r="M42" s="18" t="n">
        <f aca="false">IFERROR(F42/H42*1000,"")</f>
        <v>0.286285524062775</v>
      </c>
      <c r="N42" s="23" t="n">
        <f aca="false">IFERROR(I42/H42,"")</f>
        <v>0.00227441709341057</v>
      </c>
      <c r="O42" s="18" t="n">
        <f aca="false">IF(I42&gt;0,F42/I42,"")</f>
        <v>0.125872042068361</v>
      </c>
      <c r="P42" s="16" t="n">
        <f aca="false">IFERROR(J42/H42,"")</f>
        <v>0.28301044318243</v>
      </c>
      <c r="Q42" s="21" t="n">
        <f aca="false">IFERROR(F42/J42*1000,"")</f>
        <v>1.01157229692133</v>
      </c>
      <c r="R42" s="21" t="n">
        <f aca="false">IFERROR(F42/G42*1000,"")</f>
        <v>0.298942399157416</v>
      </c>
    </row>
    <row r="43" customFormat="false" ht="15" hidden="false" customHeight="false" outlineLevel="0" collapsed="false">
      <c r="A43" s="41" t="s">
        <v>99</v>
      </c>
      <c r="B43" s="41" t="s">
        <v>130</v>
      </c>
      <c r="C43" s="41" t="s">
        <v>203</v>
      </c>
      <c r="D43" s="41" t="s">
        <v>62</v>
      </c>
      <c r="E43" s="41" t="s">
        <v>88</v>
      </c>
      <c r="F43" s="42" t="n">
        <v>135.61</v>
      </c>
      <c r="G43" s="43" t="n">
        <v>366955</v>
      </c>
      <c r="H43" s="43" t="n">
        <v>373791</v>
      </c>
      <c r="I43" s="43" t="n">
        <v>865</v>
      </c>
      <c r="J43" s="43" t="n">
        <v>91765</v>
      </c>
      <c r="K43" s="43" t="n">
        <v>366955</v>
      </c>
      <c r="L43" s="44" t="n">
        <v>1.02</v>
      </c>
      <c r="M43" s="18" t="n">
        <f aca="false">IFERROR(F43/H43*1000,"")</f>
        <v>0.362796322008823</v>
      </c>
      <c r="N43" s="23" t="n">
        <f aca="false">IFERROR(I43/H43,"")</f>
        <v>0.00231412741344762</v>
      </c>
      <c r="O43" s="18" t="n">
        <f aca="false">IF(I43&gt;0,F43/I43,"")</f>
        <v>0.156774566473988</v>
      </c>
      <c r="P43" s="16" t="n">
        <f aca="false">IFERROR(J43/H43,"")</f>
        <v>0.245498152711007</v>
      </c>
      <c r="Q43" s="21" t="n">
        <f aca="false">IFERROR(F43/J43*1000,"")</f>
        <v>1.47779654552389</v>
      </c>
      <c r="R43" s="21" t="n">
        <f aca="false">IFERROR(F43/G43*1000,"")</f>
        <v>0.369554850049734</v>
      </c>
    </row>
    <row r="44" customFormat="false" ht="15" hidden="false" customHeight="false" outlineLevel="0" collapsed="false">
      <c r="A44" s="41" t="s">
        <v>103</v>
      </c>
      <c r="B44" s="41" t="s">
        <v>132</v>
      </c>
      <c r="C44" s="41" t="s">
        <v>204</v>
      </c>
      <c r="D44" s="41" t="s">
        <v>66</v>
      </c>
      <c r="E44" s="41" t="s">
        <v>164</v>
      </c>
      <c r="F44" s="42" t="n">
        <v>133.7</v>
      </c>
      <c r="G44" s="43" t="n">
        <v>131503</v>
      </c>
      <c r="H44" s="43" t="n">
        <v>188801</v>
      </c>
      <c r="I44" s="43" t="n">
        <v>0</v>
      </c>
      <c r="J44" s="43" t="n">
        <v>116294</v>
      </c>
      <c r="K44" s="43" t="n">
        <v>1241</v>
      </c>
      <c r="L44" s="44" t="n">
        <v>1.44</v>
      </c>
      <c r="M44" s="18" t="n">
        <f aca="false">IFERROR(F44/H44*1000,"")</f>
        <v>0.708153028850483</v>
      </c>
      <c r="N44" s="23" t="n">
        <f aca="false">IFERROR(I44/H44,"")</f>
        <v>0</v>
      </c>
      <c r="O44" s="18" t="str">
        <f aca="false">IF(I44&gt;0,F44/I44,"")</f>
        <v/>
      </c>
      <c r="P44" s="16" t="n">
        <f aca="false">IFERROR(J44/H44,"")</f>
        <v>0.615960720547031</v>
      </c>
      <c r="Q44" s="21" t="n">
        <f aca="false">IFERROR(F44/J44*1000,"")</f>
        <v>1.14967238206614</v>
      </c>
      <c r="R44" s="21" t="n">
        <f aca="false">IFERROR(F44/G44*1000,"")</f>
        <v>1.01670684318989</v>
      </c>
    </row>
    <row r="45" customFormat="false" ht="15" hidden="false" customHeight="false" outlineLevel="0" collapsed="false">
      <c r="A45" s="41" t="s">
        <v>99</v>
      </c>
      <c r="B45" s="41" t="s">
        <v>130</v>
      </c>
      <c r="C45" s="41" t="s">
        <v>205</v>
      </c>
      <c r="D45" s="41" t="s">
        <v>62</v>
      </c>
      <c r="E45" s="41" t="s">
        <v>90</v>
      </c>
      <c r="F45" s="42" t="n">
        <v>104.85</v>
      </c>
      <c r="G45" s="43" t="n">
        <v>268256</v>
      </c>
      <c r="H45" s="43" t="n">
        <v>276316</v>
      </c>
      <c r="I45" s="43" t="n">
        <v>626</v>
      </c>
      <c r="J45" s="43" t="n">
        <v>90600</v>
      </c>
      <c r="K45" s="43" t="n">
        <v>268256</v>
      </c>
      <c r="L45" s="44" t="n">
        <v>1.03</v>
      </c>
      <c r="M45" s="18" t="n">
        <f aca="false">IFERROR(F45/H45*1000,"")</f>
        <v>0.379456853747159</v>
      </c>
      <c r="N45" s="23" t="n">
        <f aca="false">IFERROR(I45/H45,"")</f>
        <v>0.00226552208341175</v>
      </c>
      <c r="O45" s="18" t="n">
        <f aca="false">IF(I45&gt;0,F45/I45,"")</f>
        <v>0.167492012779553</v>
      </c>
      <c r="P45" s="16" t="n">
        <f aca="false">IFERROR(J45/H45,"")</f>
        <v>0.327885464468218</v>
      </c>
      <c r="Q45" s="21" t="n">
        <f aca="false">IFERROR(F45/J45*1000,"")</f>
        <v>1.15728476821192</v>
      </c>
      <c r="R45" s="21" t="n">
        <f aca="false">IFERROR(F45/G45*1000,"")</f>
        <v>0.39085798640105</v>
      </c>
    </row>
    <row r="46" customFormat="false" ht="15" hidden="false" customHeight="false" outlineLevel="0" collapsed="false">
      <c r="A46" s="41" t="s">
        <v>99</v>
      </c>
      <c r="B46" s="41" t="s">
        <v>130</v>
      </c>
      <c r="C46" s="41" t="s">
        <v>206</v>
      </c>
      <c r="D46" s="41" t="s">
        <v>62</v>
      </c>
      <c r="E46" s="41" t="s">
        <v>88</v>
      </c>
      <c r="F46" s="42" t="n">
        <v>100.18</v>
      </c>
      <c r="G46" s="43" t="n">
        <v>260269</v>
      </c>
      <c r="H46" s="43" t="n">
        <v>267358</v>
      </c>
      <c r="I46" s="43" t="n">
        <v>637</v>
      </c>
      <c r="J46" s="43" t="n">
        <v>88126</v>
      </c>
      <c r="K46" s="43" t="n">
        <v>260269</v>
      </c>
      <c r="L46" s="44" t="n">
        <v>1.03</v>
      </c>
      <c r="M46" s="18" t="n">
        <f aca="false">IFERROR(F46/H46*1000,"")</f>
        <v>0.374703580966345</v>
      </c>
      <c r="N46" s="23" t="n">
        <f aca="false">IFERROR(I46/H46,"")</f>
        <v>0.00238257317903336</v>
      </c>
      <c r="O46" s="18" t="n">
        <f aca="false">IF(I46&gt;0,F46/I46,"")</f>
        <v>0.157268445839874</v>
      </c>
      <c r="P46" s="16" t="n">
        <f aca="false">IFERROR(J46/H46,"")</f>
        <v>0.329617965424637</v>
      </c>
      <c r="Q46" s="21" t="n">
        <f aca="false">IFERROR(F46/J46*1000,"")</f>
        <v>1.13678142659374</v>
      </c>
      <c r="R46" s="21" t="n">
        <f aca="false">IFERROR(F46/G46*1000,"")</f>
        <v>0.384909459059665</v>
      </c>
    </row>
    <row r="47" customFormat="false" ht="15" hidden="false" customHeight="false" outlineLevel="0" collapsed="false">
      <c r="A47" s="41" t="s">
        <v>99</v>
      </c>
      <c r="B47" s="41" t="s">
        <v>130</v>
      </c>
      <c r="C47" s="41" t="s">
        <v>207</v>
      </c>
      <c r="D47" s="41" t="s">
        <v>62</v>
      </c>
      <c r="E47" s="41" t="s">
        <v>164</v>
      </c>
      <c r="F47" s="42" t="n">
        <v>94.69</v>
      </c>
      <c r="G47" s="43" t="n">
        <v>184099</v>
      </c>
      <c r="H47" s="43" t="n">
        <v>188963</v>
      </c>
      <c r="I47" s="43" t="n">
        <v>486</v>
      </c>
      <c r="J47" s="43" t="n">
        <v>51467</v>
      </c>
      <c r="K47" s="43" t="n">
        <v>184099</v>
      </c>
      <c r="L47" s="44" t="n">
        <v>1.03</v>
      </c>
      <c r="M47" s="18" t="n">
        <f aca="false">IFERROR(F47/H47*1000,"")</f>
        <v>0.50110339061086</v>
      </c>
      <c r="N47" s="23" t="n">
        <f aca="false">IFERROR(I47/H47,"")</f>
        <v>0.00257193207135788</v>
      </c>
      <c r="O47" s="18" t="n">
        <f aca="false">IF(I47&gt;0,F47/I47,"")</f>
        <v>0.194835390946502</v>
      </c>
      <c r="P47" s="16" t="n">
        <f aca="false">IFERROR(J47/H47,"")</f>
        <v>0.27236548954028</v>
      </c>
      <c r="Q47" s="21" t="n">
        <f aca="false">IFERROR(F47/J47*1000,"")</f>
        <v>1.83981969028698</v>
      </c>
      <c r="R47" s="21" t="n">
        <f aca="false">IFERROR(F47/G47*1000,"")</f>
        <v>0.514342826414049</v>
      </c>
    </row>
    <row r="48" customFormat="false" ht="15" hidden="false" customHeight="false" outlineLevel="0" collapsed="false">
      <c r="A48" s="41" t="s">
        <v>100</v>
      </c>
      <c r="B48" s="41" t="s">
        <v>131</v>
      </c>
      <c r="C48" s="41" t="s">
        <v>208</v>
      </c>
      <c r="D48" s="41" t="s">
        <v>62</v>
      </c>
      <c r="E48" s="41" t="s">
        <v>164</v>
      </c>
      <c r="F48" s="42" t="n">
        <v>87.34</v>
      </c>
      <c r="G48" s="43" t="n">
        <v>280221</v>
      </c>
      <c r="H48" s="43" t="n">
        <v>284542</v>
      </c>
      <c r="I48" s="43" t="n">
        <v>694</v>
      </c>
      <c r="J48" s="43" t="n">
        <v>72051</v>
      </c>
      <c r="K48" s="43" t="n">
        <v>280221</v>
      </c>
      <c r="L48" s="44" t="n">
        <v>1.02</v>
      </c>
      <c r="M48" s="18" t="n">
        <f aca="false">IFERROR(F48/H48*1000,"")</f>
        <v>0.306949413443358</v>
      </c>
      <c r="N48" s="23" t="n">
        <f aca="false">IFERROR(I48/H48,"")</f>
        <v>0.00243900724673335</v>
      </c>
      <c r="O48" s="18" t="n">
        <f aca="false">IF(I48&gt;0,F48/I48,"")</f>
        <v>0.125850144092219</v>
      </c>
      <c r="P48" s="16" t="n">
        <f aca="false">IFERROR(J48/H48,"")</f>
        <v>0.253217451202283</v>
      </c>
      <c r="Q48" s="21" t="n">
        <f aca="false">IFERROR(F48/J48*1000,"")</f>
        <v>1.21219691607334</v>
      </c>
      <c r="R48" s="21" t="n">
        <f aca="false">IFERROR(F48/G48*1000,"")</f>
        <v>0.311682564832757</v>
      </c>
    </row>
  </sheetData>
  <autoFilter ref="A1:R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9"/>
    <col collapsed="false" customWidth="true" hidden="false" outlineLevel="0" max="16" min="15" style="0" width="10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96</v>
      </c>
      <c r="B1" s="5" t="s">
        <v>129</v>
      </c>
      <c r="C1" s="5" t="s">
        <v>156</v>
      </c>
      <c r="D1" s="5" t="s">
        <v>10</v>
      </c>
      <c r="E1" s="5" t="s">
        <v>12</v>
      </c>
      <c r="F1" s="5" t="s">
        <v>55</v>
      </c>
      <c r="G1" s="5" t="s">
        <v>57</v>
      </c>
      <c r="H1" s="5" t="s">
        <v>35</v>
      </c>
      <c r="I1" s="5" t="s">
        <v>40</v>
      </c>
      <c r="J1" s="5" t="s">
        <v>43</v>
      </c>
      <c r="K1" s="5" t="s">
        <v>157</v>
      </c>
      <c r="L1" s="5" t="s">
        <v>158</v>
      </c>
      <c r="M1" s="5" t="s">
        <v>39</v>
      </c>
      <c r="N1" s="5" t="s">
        <v>41</v>
      </c>
      <c r="O1" s="5" t="s">
        <v>42</v>
      </c>
      <c r="P1" s="5" t="s">
        <v>44</v>
      </c>
      <c r="Q1" s="5" t="s">
        <v>60</v>
      </c>
      <c r="R1" s="5" t="s">
        <v>61</v>
      </c>
    </row>
    <row r="2" customFormat="false" ht="15" hidden="false" customHeight="false" outlineLevel="0" collapsed="false">
      <c r="A2" s="41" t="s">
        <v>107</v>
      </c>
      <c r="B2" s="41" t="s">
        <v>135</v>
      </c>
      <c r="C2" s="41" t="s">
        <v>209</v>
      </c>
      <c r="D2" s="41" t="s">
        <v>62</v>
      </c>
      <c r="E2" s="41" t="s">
        <v>92</v>
      </c>
      <c r="F2" s="42" t="n">
        <v>3594.01</v>
      </c>
      <c r="G2" s="43" t="n">
        <v>3359491</v>
      </c>
      <c r="H2" s="43" t="n">
        <v>11212822</v>
      </c>
      <c r="I2" s="43" t="n">
        <v>26184</v>
      </c>
      <c r="J2" s="43" t="n">
        <v>799143</v>
      </c>
      <c r="K2" s="43" t="n">
        <v>3359491</v>
      </c>
      <c r="L2" s="44" t="n">
        <v>3.34</v>
      </c>
      <c r="M2" s="18" t="n">
        <f aca="false">IFERROR(F2/H2*1000,"")</f>
        <v>0.320526804046296</v>
      </c>
      <c r="N2" s="23" t="n">
        <f aca="false">IFERROR(I2/H2,"")</f>
        <v>0.00233518377443252</v>
      </c>
      <c r="O2" s="18" t="n">
        <f aca="false">IF(I2&gt;0,F2/I2,"")</f>
        <v>0.137259776963031</v>
      </c>
      <c r="P2" s="16" t="n">
        <f aca="false">IFERROR(J2/H2,"")</f>
        <v>0.0712704616197421</v>
      </c>
      <c r="Q2" s="21" t="n">
        <f aca="false">IFERROR(F2/J2*1000,"")</f>
        <v>4.49733026504643</v>
      </c>
      <c r="R2" s="21" t="n">
        <f aca="false">IFERROR(F2/G2*1000,"")</f>
        <v>1.06980789649384</v>
      </c>
    </row>
    <row r="3" customFormat="false" ht="15" hidden="false" customHeight="false" outlineLevel="0" collapsed="false">
      <c r="A3" s="41" t="s">
        <v>109</v>
      </c>
      <c r="B3" s="41" t="s">
        <v>137</v>
      </c>
      <c r="C3" s="41" t="s">
        <v>210</v>
      </c>
      <c r="D3" s="41" t="s">
        <v>62</v>
      </c>
      <c r="E3" s="41" t="s">
        <v>93</v>
      </c>
      <c r="F3" s="42" t="n">
        <v>1500</v>
      </c>
      <c r="G3" s="43" t="n">
        <v>2422956</v>
      </c>
      <c r="H3" s="43" t="n">
        <v>6478266</v>
      </c>
      <c r="I3" s="43" t="n">
        <v>15188</v>
      </c>
      <c r="J3" s="43" t="n">
        <v>523991</v>
      </c>
      <c r="K3" s="43" t="n">
        <v>2422956</v>
      </c>
      <c r="L3" s="44" t="n">
        <v>2.67</v>
      </c>
      <c r="M3" s="18" t="n">
        <f aca="false">IFERROR(F3/H3*1000,"")</f>
        <v>0.231543440791101</v>
      </c>
      <c r="N3" s="23" t="n">
        <f aca="false">IFERROR(I3/H3,"")</f>
        <v>0.00234445451915682</v>
      </c>
      <c r="O3" s="18" t="n">
        <f aca="false">IF(I3&gt;0,F3/I3,"")</f>
        <v>0.0987621806689492</v>
      </c>
      <c r="P3" s="16" t="n">
        <f aca="false">IFERROR(J3/H3,"")</f>
        <v>0.0808844527223797</v>
      </c>
      <c r="Q3" s="21" t="n">
        <f aca="false">IFERROR(F3/J3*1000,"")</f>
        <v>2.86264458740704</v>
      </c>
      <c r="R3" s="21" t="n">
        <f aca="false">IFERROR(F3/G3*1000,"")</f>
        <v>0.619078514013461</v>
      </c>
    </row>
    <row r="4" customFormat="false" ht="15" hidden="false" customHeight="false" outlineLevel="0" collapsed="false">
      <c r="A4" s="41" t="s">
        <v>109</v>
      </c>
      <c r="B4" s="41" t="s">
        <v>137</v>
      </c>
      <c r="C4" s="41" t="s">
        <v>211</v>
      </c>
      <c r="D4" s="41" t="s">
        <v>62</v>
      </c>
      <c r="E4" s="41" t="s">
        <v>93</v>
      </c>
      <c r="F4" s="42" t="n">
        <v>1230.67</v>
      </c>
      <c r="G4" s="43" t="n">
        <v>1909215</v>
      </c>
      <c r="H4" s="43" t="n">
        <v>5187676</v>
      </c>
      <c r="I4" s="43" t="n">
        <v>11908</v>
      </c>
      <c r="J4" s="43" t="n">
        <v>282817</v>
      </c>
      <c r="K4" s="43" t="n">
        <v>1909215</v>
      </c>
      <c r="L4" s="44" t="n">
        <v>2.72</v>
      </c>
      <c r="M4" s="18" t="n">
        <f aca="false">IFERROR(F4/H4*1000,"")</f>
        <v>0.237229541706151</v>
      </c>
      <c r="N4" s="23" t="n">
        <f aca="false">IFERROR(I4/H4,"")</f>
        <v>0.00229544019325802</v>
      </c>
      <c r="O4" s="18" t="n">
        <f aca="false">IF(I4&gt;0,F4/I4,"")</f>
        <v>0.103348169297951</v>
      </c>
      <c r="P4" s="16" t="n">
        <f aca="false">IFERROR(J4/H4,"")</f>
        <v>0.0545170901189666</v>
      </c>
      <c r="Q4" s="21" t="n">
        <f aca="false">IFERROR(F4/J4*1000,"")</f>
        <v>4.35147109261466</v>
      </c>
      <c r="R4" s="21" t="n">
        <f aca="false">IFERROR(F4/G4*1000,"")</f>
        <v>0.644594768006746</v>
      </c>
    </row>
    <row r="5" customFormat="false" ht="15" hidden="false" customHeight="false" outlineLevel="0" collapsed="false">
      <c r="A5" s="41" t="s">
        <v>111</v>
      </c>
      <c r="B5" s="41" t="s">
        <v>139</v>
      </c>
      <c r="C5" s="41" t="s">
        <v>212</v>
      </c>
      <c r="D5" s="41" t="s">
        <v>62</v>
      </c>
      <c r="E5" s="41" t="s">
        <v>91</v>
      </c>
      <c r="F5" s="42" t="n">
        <v>1135.73</v>
      </c>
      <c r="G5" s="43" t="n">
        <v>1578442</v>
      </c>
      <c r="H5" s="43" t="n">
        <v>2878033</v>
      </c>
      <c r="I5" s="43" t="n">
        <v>8308</v>
      </c>
      <c r="J5" s="43" t="n">
        <v>406389</v>
      </c>
      <c r="K5" s="43" t="n">
        <v>1578442</v>
      </c>
      <c r="L5" s="44" t="n">
        <v>1.82</v>
      </c>
      <c r="M5" s="18" t="n">
        <f aca="false">IFERROR(F5/H5*1000,"")</f>
        <v>0.39462021457016</v>
      </c>
      <c r="N5" s="23" t="n">
        <f aca="false">IFERROR(I5/H5,"")</f>
        <v>0.00288669379399055</v>
      </c>
      <c r="O5" s="18" t="n">
        <f aca="false">IF(I5&gt;0,F5/I5,"")</f>
        <v>0.136703177660087</v>
      </c>
      <c r="P5" s="16" t="n">
        <f aca="false">IFERROR(J5/H5,"")</f>
        <v>0.14120373185436</v>
      </c>
      <c r="Q5" s="21" t="n">
        <f aca="false">IFERROR(F5/J5*1000,"")</f>
        <v>2.79468686406374</v>
      </c>
      <c r="R5" s="21" t="n">
        <f aca="false">IFERROR(F5/G5*1000,"")</f>
        <v>0.719525962943206</v>
      </c>
    </row>
    <row r="6" customFormat="false" ht="15" hidden="false" customHeight="false" outlineLevel="0" collapsed="false">
      <c r="A6" s="41" t="s">
        <v>108</v>
      </c>
      <c r="B6" s="41" t="s">
        <v>136</v>
      </c>
      <c r="C6" s="41" t="s">
        <v>213</v>
      </c>
      <c r="D6" s="41" t="s">
        <v>62</v>
      </c>
      <c r="E6" s="41" t="s">
        <v>88</v>
      </c>
      <c r="F6" s="42" t="n">
        <v>852.5</v>
      </c>
      <c r="G6" s="43" t="n">
        <v>1926253</v>
      </c>
      <c r="H6" s="43" t="n">
        <v>2286700</v>
      </c>
      <c r="I6" s="43" t="n">
        <v>4299</v>
      </c>
      <c r="J6" s="43" t="n">
        <v>405460</v>
      </c>
      <c r="K6" s="43" t="n">
        <v>1926253</v>
      </c>
      <c r="L6" s="44" t="n">
        <v>1.19</v>
      </c>
      <c r="M6" s="18" t="n">
        <f aca="false">IFERROR(F6/H6*1000,"")</f>
        <v>0.372807976560108</v>
      </c>
      <c r="N6" s="23" t="n">
        <f aca="false">IFERROR(I6/H6,"")</f>
        <v>0.00188000174924564</v>
      </c>
      <c r="O6" s="18" t="n">
        <f aca="false">IF(I6&gt;0,F6/I6,"")</f>
        <v>0.198301930681554</v>
      </c>
      <c r="P6" s="16" t="n">
        <f aca="false">IFERROR(J6/H6,"")</f>
        <v>0.177312284077492</v>
      </c>
      <c r="Q6" s="21" t="n">
        <f aca="false">IFERROR(F6/J6*1000,"")</f>
        <v>2.10255018990776</v>
      </c>
      <c r="R6" s="21" t="n">
        <f aca="false">IFERROR(F6/G6*1000,"")</f>
        <v>0.442569070625717</v>
      </c>
    </row>
    <row r="7" customFormat="false" ht="15" hidden="false" customHeight="false" outlineLevel="0" collapsed="false">
      <c r="A7" s="41" t="s">
        <v>116</v>
      </c>
      <c r="B7" s="41" t="s">
        <v>116</v>
      </c>
      <c r="C7" s="41" t="s">
        <v>214</v>
      </c>
      <c r="D7" s="41" t="s">
        <v>62</v>
      </c>
      <c r="E7" s="41" t="s">
        <v>92</v>
      </c>
      <c r="F7" s="42" t="n">
        <v>852</v>
      </c>
      <c r="G7" s="43" t="n">
        <v>2503983</v>
      </c>
      <c r="H7" s="43" t="n">
        <v>4583157</v>
      </c>
      <c r="I7" s="43" t="n">
        <v>10719</v>
      </c>
      <c r="J7" s="43" t="n">
        <v>1398142</v>
      </c>
      <c r="K7" s="43" t="n">
        <v>2503983</v>
      </c>
      <c r="L7" s="44" t="n">
        <v>1.83</v>
      </c>
      <c r="M7" s="18" t="n">
        <f aca="false">IFERROR(F7/H7*1000,"")</f>
        <v>0.185898061096314</v>
      </c>
      <c r="N7" s="23" t="n">
        <f aca="false">IFERROR(I7/H7,"")</f>
        <v>0.00233878088837018</v>
      </c>
      <c r="O7" s="18" t="n">
        <f aca="false">IF(I7&gt;0,F7/I7,"")</f>
        <v>0.0794850265883011</v>
      </c>
      <c r="P7" s="16" t="n">
        <f aca="false">IFERROR(J7/H7,"")</f>
        <v>0.305060900161177</v>
      </c>
      <c r="Q7" s="21" t="n">
        <f aca="false">IFERROR(F7/J7*1000,"")</f>
        <v>0.609380163102174</v>
      </c>
      <c r="R7" s="21" t="n">
        <f aca="false">IFERROR(F7/G7*1000,"")</f>
        <v>0.340257901111949</v>
      </c>
    </row>
    <row r="8" customFormat="false" ht="15" hidden="false" customHeight="false" outlineLevel="0" collapsed="false">
      <c r="A8" s="41" t="s">
        <v>118</v>
      </c>
      <c r="B8" s="41" t="s">
        <v>144</v>
      </c>
      <c r="C8" s="41" t="s">
        <v>215</v>
      </c>
      <c r="D8" s="41" t="s">
        <v>67</v>
      </c>
      <c r="E8" s="41" t="s">
        <v>216</v>
      </c>
      <c r="F8" s="42" t="n">
        <v>621.95</v>
      </c>
      <c r="G8" s="43" t="n">
        <v>1107096</v>
      </c>
      <c r="H8" s="43" t="n">
        <v>2259715</v>
      </c>
      <c r="I8" s="43" t="n">
        <v>1</v>
      </c>
      <c r="J8" s="43" t="n">
        <v>776955</v>
      </c>
      <c r="K8" s="43" t="n">
        <v>219241</v>
      </c>
      <c r="L8" s="44" t="n">
        <v>2.04</v>
      </c>
      <c r="M8" s="18" t="n">
        <f aca="false">IFERROR(F8/H8*1000,"")</f>
        <v>0.275233823734409</v>
      </c>
      <c r="N8" s="23" t="n">
        <f aca="false">IFERROR(I8/H8,"")</f>
        <v>4.42533682344897E-007</v>
      </c>
      <c r="O8" s="18" t="n">
        <f aca="false">IF(I8&gt;0,F8/I8,"")</f>
        <v>621.95</v>
      </c>
      <c r="P8" s="16" t="n">
        <f aca="false">IFERROR(J8/H8,"")</f>
        <v>0.34382875716628</v>
      </c>
      <c r="Q8" s="21" t="n">
        <f aca="false">IFERROR(F8/J8*1000,"")</f>
        <v>0.800496811269636</v>
      </c>
      <c r="R8" s="21" t="n">
        <f aca="false">IFERROR(F8/G8*1000,"")</f>
        <v>0.561785066516364</v>
      </c>
    </row>
    <row r="9" customFormat="false" ht="15" hidden="false" customHeight="false" outlineLevel="0" collapsed="false">
      <c r="A9" s="41" t="s">
        <v>119</v>
      </c>
      <c r="B9" s="41" t="s">
        <v>145</v>
      </c>
      <c r="C9" s="41" t="s">
        <v>217</v>
      </c>
      <c r="D9" s="41" t="s">
        <v>62</v>
      </c>
      <c r="E9" s="41" t="s">
        <v>92</v>
      </c>
      <c r="F9" s="42" t="n">
        <v>602</v>
      </c>
      <c r="G9" s="43" t="n">
        <v>1945861</v>
      </c>
      <c r="H9" s="43" t="n">
        <v>2151425</v>
      </c>
      <c r="I9" s="43" t="n">
        <v>6548</v>
      </c>
      <c r="J9" s="43" t="n">
        <v>996687</v>
      </c>
      <c r="K9" s="43" t="n">
        <v>1945861</v>
      </c>
      <c r="L9" s="44" t="n">
        <v>1.11</v>
      </c>
      <c r="M9" s="18" t="n">
        <f aca="false">IFERROR(F9/H9*1000,"")</f>
        <v>0.279814541524803</v>
      </c>
      <c r="N9" s="23" t="n">
        <f aca="false">IFERROR(I9/H9,"")</f>
        <v>0.00304356414934288</v>
      </c>
      <c r="O9" s="18" t="n">
        <f aca="false">IF(I9&gt;0,F9/I9,"")</f>
        <v>0.0919364691508858</v>
      </c>
      <c r="P9" s="16" t="n">
        <f aca="false">IFERROR(J9/H9,"")</f>
        <v>0.463268298918159</v>
      </c>
      <c r="Q9" s="21" t="n">
        <f aca="false">IFERROR(F9/J9*1000,"")</f>
        <v>0.604001055496861</v>
      </c>
      <c r="R9" s="21" t="n">
        <f aca="false">IFERROR(F9/G9*1000,"")</f>
        <v>0.309374616172481</v>
      </c>
    </row>
    <row r="10" customFormat="false" ht="15" hidden="false" customHeight="false" outlineLevel="0" collapsed="false">
      <c r="A10" s="41" t="s">
        <v>115</v>
      </c>
      <c r="B10" s="41" t="s">
        <v>146</v>
      </c>
      <c r="C10" s="41" t="s">
        <v>146</v>
      </c>
      <c r="D10" s="41" t="s">
        <v>65</v>
      </c>
      <c r="E10" s="41" t="s">
        <v>88</v>
      </c>
      <c r="F10" s="42" t="n">
        <v>581.5</v>
      </c>
      <c r="G10" s="43" t="n">
        <v>1542432</v>
      </c>
      <c r="H10" s="43" t="n">
        <v>1746015</v>
      </c>
      <c r="I10" s="43" t="n">
        <v>4521</v>
      </c>
      <c r="J10" s="43" t="n">
        <v>458080</v>
      </c>
      <c r="K10" s="43" t="n">
        <v>124448</v>
      </c>
      <c r="L10" s="44" t="n">
        <v>1.13</v>
      </c>
      <c r="M10" s="18" t="n">
        <f aca="false">IFERROR(F10/H10*1000,"")</f>
        <v>0.333044103286627</v>
      </c>
      <c r="N10" s="23" t="n">
        <f aca="false">IFERROR(I10/H10,"")</f>
        <v>0.00258932483397909</v>
      </c>
      <c r="O10" s="18" t="n">
        <f aca="false">IF(I10&gt;0,F10/I10,"")</f>
        <v>0.12862198628622</v>
      </c>
      <c r="P10" s="16" t="n">
        <f aca="false">IFERROR(J10/H10,"")</f>
        <v>0.262357425337125</v>
      </c>
      <c r="Q10" s="21" t="n">
        <f aca="false">IFERROR(F10/J10*1000,"")</f>
        <v>1.26942892071254</v>
      </c>
      <c r="R10" s="21" t="n">
        <f aca="false">IFERROR(F10/G10*1000,"")</f>
        <v>0.377002033152839</v>
      </c>
    </row>
    <row r="11" customFormat="false" ht="15" hidden="false" customHeight="false" outlineLevel="0" collapsed="false">
      <c r="A11" s="41" t="s">
        <v>113</v>
      </c>
      <c r="B11" s="41" t="s">
        <v>140</v>
      </c>
      <c r="C11" s="41" t="s">
        <v>218</v>
      </c>
      <c r="D11" s="41" t="s">
        <v>62</v>
      </c>
      <c r="E11" s="41" t="s">
        <v>89</v>
      </c>
      <c r="F11" s="42" t="n">
        <v>578.92</v>
      </c>
      <c r="G11" s="43" t="n">
        <v>1445616</v>
      </c>
      <c r="H11" s="43" t="n">
        <v>2598058</v>
      </c>
      <c r="I11" s="43" t="n">
        <v>6535</v>
      </c>
      <c r="J11" s="43" t="n">
        <v>353557</v>
      </c>
      <c r="K11" s="43" t="n">
        <v>1445616</v>
      </c>
      <c r="L11" s="44" t="n">
        <v>1.8</v>
      </c>
      <c r="M11" s="18" t="n">
        <f aca="false">IFERROR(F11/H11*1000,"")</f>
        <v>0.222827973817367</v>
      </c>
      <c r="N11" s="23" t="n">
        <f aca="false">IFERROR(I11/H11,"")</f>
        <v>0.00251534030418105</v>
      </c>
      <c r="O11" s="18" t="n">
        <f aca="false">IF(I11&gt;0,F11/I11,"")</f>
        <v>0.0885876052027544</v>
      </c>
      <c r="P11" s="16" t="n">
        <f aca="false">IFERROR(J11/H11,"")</f>
        <v>0.13608510664504</v>
      </c>
      <c r="Q11" s="21" t="n">
        <f aca="false">IFERROR(F11/J11*1000,"")</f>
        <v>1.63741631476678</v>
      </c>
      <c r="R11" s="21" t="n">
        <f aca="false">IFERROR(F11/G11*1000,"")</f>
        <v>0.400465960531704</v>
      </c>
    </row>
    <row r="12" customFormat="false" ht="15" hidden="false" customHeight="false" outlineLevel="0" collapsed="false">
      <c r="A12" s="41" t="s">
        <v>120</v>
      </c>
      <c r="B12" s="41" t="s">
        <v>147</v>
      </c>
      <c r="C12" s="41" t="s">
        <v>219</v>
      </c>
      <c r="D12" s="41" t="s">
        <v>65</v>
      </c>
      <c r="E12" s="41" t="s">
        <v>147</v>
      </c>
      <c r="F12" s="42" t="n">
        <v>574.57</v>
      </c>
      <c r="G12" s="43" t="n">
        <v>945879</v>
      </c>
      <c r="H12" s="43" t="n">
        <v>1869860</v>
      </c>
      <c r="I12" s="43" t="n">
        <v>0</v>
      </c>
      <c r="J12" s="43" t="n">
        <v>968724</v>
      </c>
      <c r="K12" s="43" t="n">
        <v>501324</v>
      </c>
      <c r="L12" s="44" t="n">
        <v>1.98</v>
      </c>
      <c r="M12" s="18" t="n">
        <f aca="false">IFERROR(F12/H12*1000,"")</f>
        <v>0.30727968938851</v>
      </c>
      <c r="N12" s="23" t="n">
        <f aca="false">IFERROR(I12/H12,"")</f>
        <v>0</v>
      </c>
      <c r="O12" s="18" t="str">
        <f aca="false">IF(I12&gt;0,F12/I12,"")</f>
        <v/>
      </c>
      <c r="P12" s="16" t="n">
        <f aca="false">IFERROR(J12/H12,"")</f>
        <v>0.518073010813644</v>
      </c>
      <c r="Q12" s="21" t="n">
        <f aca="false">IFERROR(F12/J12*1000,"")</f>
        <v>0.593120434716184</v>
      </c>
      <c r="R12" s="21" t="n">
        <f aca="false">IFERROR(F12/G12*1000,"")</f>
        <v>0.607445561218718</v>
      </c>
    </row>
    <row r="13" customFormat="false" ht="15" hidden="false" customHeight="false" outlineLevel="0" collapsed="false">
      <c r="A13" s="41" t="s">
        <v>114</v>
      </c>
      <c r="B13" s="41" t="s">
        <v>141</v>
      </c>
      <c r="C13" s="41" t="s">
        <v>220</v>
      </c>
      <c r="D13" s="41" t="s">
        <v>62</v>
      </c>
      <c r="E13" s="41" t="s">
        <v>221</v>
      </c>
      <c r="F13" s="42" t="n">
        <v>566.8</v>
      </c>
      <c r="G13" s="43" t="n">
        <v>1568535</v>
      </c>
      <c r="H13" s="43" t="n">
        <v>2011838</v>
      </c>
      <c r="I13" s="43" t="n">
        <v>3653</v>
      </c>
      <c r="J13" s="43" t="n">
        <v>543448</v>
      </c>
      <c r="K13" s="43" t="n">
        <v>1568535</v>
      </c>
      <c r="L13" s="44" t="n">
        <v>1.28</v>
      </c>
      <c r="M13" s="18" t="n">
        <f aca="false">IFERROR(F13/H13*1000,"")</f>
        <v>0.281732425771856</v>
      </c>
      <c r="N13" s="23" t="n">
        <f aca="false">IFERROR(I13/H13,"")</f>
        <v>0.00181575256059385</v>
      </c>
      <c r="O13" s="18" t="n">
        <f aca="false">IF(I13&gt;0,F13/I13,"")</f>
        <v>0.155160142348754</v>
      </c>
      <c r="P13" s="16" t="n">
        <f aca="false">IFERROR(J13/H13,"")</f>
        <v>0.270125129359322</v>
      </c>
      <c r="Q13" s="21" t="n">
        <f aca="false">IFERROR(F13/J13*1000,"")</f>
        <v>1.04297007257364</v>
      </c>
      <c r="R13" s="21" t="n">
        <f aca="false">IFERROR(F13/G13*1000,"")</f>
        <v>0.36135629743678</v>
      </c>
    </row>
    <row r="14" customFormat="false" ht="15" hidden="false" customHeight="false" outlineLevel="0" collapsed="false">
      <c r="A14" s="41" t="s">
        <v>108</v>
      </c>
      <c r="B14" s="41" t="s">
        <v>136</v>
      </c>
      <c r="C14" s="41" t="s">
        <v>222</v>
      </c>
      <c r="D14" s="41" t="s">
        <v>62</v>
      </c>
      <c r="E14" s="41" t="s">
        <v>88</v>
      </c>
      <c r="F14" s="42" t="n">
        <v>542.73</v>
      </c>
      <c r="G14" s="43" t="n">
        <v>1834770</v>
      </c>
      <c r="H14" s="43" t="n">
        <v>2125078</v>
      </c>
      <c r="I14" s="43" t="n">
        <v>3626</v>
      </c>
      <c r="J14" s="43" t="n">
        <v>719216</v>
      </c>
      <c r="K14" s="43" t="n">
        <v>1834770</v>
      </c>
      <c r="L14" s="44" t="n">
        <v>1.16</v>
      </c>
      <c r="M14" s="18" t="n">
        <f aca="false">IFERROR(F14/H14*1000,"")</f>
        <v>0.255392978516553</v>
      </c>
      <c r="N14" s="23" t="n">
        <f aca="false">IFERROR(I14/H14,"")</f>
        <v>0.00170629031028508</v>
      </c>
      <c r="O14" s="18" t="n">
        <f aca="false">IF(I14&gt;0,F14/I14,"")</f>
        <v>0.149677330391616</v>
      </c>
      <c r="P14" s="16" t="n">
        <f aca="false">IFERROR(J14/H14,"")</f>
        <v>0.338442165416987</v>
      </c>
      <c r="Q14" s="21" t="n">
        <f aca="false">IFERROR(F14/J14*1000,"")</f>
        <v>0.754613356766257</v>
      </c>
      <c r="R14" s="21" t="n">
        <f aca="false">IFERROR(F14/G14*1000,"")</f>
        <v>0.295802743668144</v>
      </c>
    </row>
    <row r="15" customFormat="false" ht="15" hidden="false" customHeight="false" outlineLevel="0" collapsed="false">
      <c r="A15" s="41" t="s">
        <v>108</v>
      </c>
      <c r="B15" s="41" t="s">
        <v>136</v>
      </c>
      <c r="C15" s="41" t="s">
        <v>223</v>
      </c>
      <c r="D15" s="41" t="s">
        <v>62</v>
      </c>
      <c r="E15" s="41" t="s">
        <v>88</v>
      </c>
      <c r="F15" s="42" t="n">
        <v>532.51</v>
      </c>
      <c r="G15" s="43" t="n">
        <v>1174865</v>
      </c>
      <c r="H15" s="43" t="n">
        <v>1240842</v>
      </c>
      <c r="I15" s="43" t="n">
        <v>3212</v>
      </c>
      <c r="J15" s="43" t="n">
        <v>576948</v>
      </c>
      <c r="K15" s="43" t="n">
        <v>1174865</v>
      </c>
      <c r="L15" s="44" t="n">
        <v>1.06</v>
      </c>
      <c r="M15" s="18" t="n">
        <f aca="false">IFERROR(F15/H15*1000,"")</f>
        <v>0.429152140240256</v>
      </c>
      <c r="N15" s="23" t="n">
        <f aca="false">IFERROR(I15/H15,"")</f>
        <v>0.00258856486160204</v>
      </c>
      <c r="O15" s="18" t="n">
        <f aca="false">IF(I15&gt;0,F15/I15,"")</f>
        <v>0.165787671232877</v>
      </c>
      <c r="P15" s="16" t="n">
        <f aca="false">IFERROR(J15/H15,"")</f>
        <v>0.464964918982433</v>
      </c>
      <c r="Q15" s="21" t="n">
        <f aca="false">IFERROR(F15/J15*1000,"")</f>
        <v>0.922977460707031</v>
      </c>
      <c r="R15" s="21" t="n">
        <f aca="false">IFERROR(F15/G15*1000,"")</f>
        <v>0.453252075770408</v>
      </c>
    </row>
    <row r="16" customFormat="false" ht="15" hidden="false" customHeight="false" outlineLevel="0" collapsed="false">
      <c r="A16" s="41" t="s">
        <v>117</v>
      </c>
      <c r="B16" s="41" t="s">
        <v>143</v>
      </c>
      <c r="C16" s="41" t="s">
        <v>224</v>
      </c>
      <c r="D16" s="41" t="s">
        <v>62</v>
      </c>
      <c r="E16" s="41" t="s">
        <v>90</v>
      </c>
      <c r="F16" s="42" t="n">
        <v>527.1</v>
      </c>
      <c r="G16" s="43" t="n">
        <v>2047491</v>
      </c>
      <c r="H16" s="43" t="n">
        <v>2210379</v>
      </c>
      <c r="I16" s="43" t="n">
        <v>5097</v>
      </c>
      <c r="J16" s="43" t="n">
        <v>322823</v>
      </c>
      <c r="K16" s="43" t="n">
        <v>2047491</v>
      </c>
      <c r="L16" s="44" t="n">
        <v>1.08</v>
      </c>
      <c r="M16" s="18" t="n">
        <f aca="false">IFERROR(F16/H16*1000,"")</f>
        <v>0.238465892048377</v>
      </c>
      <c r="N16" s="23" t="n">
        <f aca="false">IFERROR(I16/H16,"")</f>
        <v>0.00230593938867497</v>
      </c>
      <c r="O16" s="18" t="n">
        <f aca="false">IF(I16&gt;0,F16/I16,"")</f>
        <v>0.103413772807534</v>
      </c>
      <c r="P16" s="16" t="n">
        <f aca="false">IFERROR(J16/H16,"")</f>
        <v>0.146048709293746</v>
      </c>
      <c r="Q16" s="21" t="n">
        <f aca="false">IFERROR(F16/J16*1000,"")</f>
        <v>1.63278328991429</v>
      </c>
      <c r="R16" s="21" t="n">
        <f aca="false">IFERROR(F16/G16*1000,"")</f>
        <v>0.257437029027234</v>
      </c>
    </row>
    <row r="17" customFormat="false" ht="15" hidden="false" customHeight="false" outlineLevel="0" collapsed="false">
      <c r="A17" s="41" t="s">
        <v>110</v>
      </c>
      <c r="B17" s="41" t="s">
        <v>138</v>
      </c>
      <c r="C17" s="41" t="s">
        <v>225</v>
      </c>
      <c r="D17" s="41" t="s">
        <v>62</v>
      </c>
      <c r="E17" s="41" t="s">
        <v>89</v>
      </c>
      <c r="F17" s="42" t="n">
        <v>511.24</v>
      </c>
      <c r="G17" s="43" t="n">
        <v>901976</v>
      </c>
      <c r="H17" s="43" t="n">
        <v>944265</v>
      </c>
      <c r="I17" s="43" t="n">
        <v>2146</v>
      </c>
      <c r="J17" s="43" t="n">
        <v>106563</v>
      </c>
      <c r="K17" s="43" t="n">
        <v>901976</v>
      </c>
      <c r="L17" s="44" t="n">
        <v>1.05</v>
      </c>
      <c r="M17" s="18" t="n">
        <f aca="false">IFERROR(F17/H17*1000,"")</f>
        <v>0.541415810180405</v>
      </c>
      <c r="N17" s="23" t="n">
        <f aca="false">IFERROR(I17/H17,"")</f>
        <v>0.00227266710086681</v>
      </c>
      <c r="O17" s="18" t="n">
        <f aca="false">IF(I17&gt;0,F17/I17,"")</f>
        <v>0.238229263746505</v>
      </c>
      <c r="P17" s="16" t="n">
        <f aca="false">IFERROR(J17/H17,"")</f>
        <v>0.112852853806929</v>
      </c>
      <c r="Q17" s="21" t="n">
        <f aca="false">IFERROR(F17/J17*1000,"")</f>
        <v>4.79753760686167</v>
      </c>
      <c r="R17" s="21" t="n">
        <f aca="false">IFERROR(F17/G17*1000,"")</f>
        <v>0.566800003547766</v>
      </c>
    </row>
    <row r="18" customFormat="false" ht="15" hidden="false" customHeight="false" outlineLevel="0" collapsed="false">
      <c r="A18" s="41" t="s">
        <v>113</v>
      </c>
      <c r="B18" s="41" t="s">
        <v>140</v>
      </c>
      <c r="C18" s="41" t="s">
        <v>226</v>
      </c>
      <c r="D18" s="41" t="s">
        <v>62</v>
      </c>
      <c r="E18" s="41" t="s">
        <v>89</v>
      </c>
      <c r="F18" s="42" t="n">
        <v>493.93</v>
      </c>
      <c r="G18" s="43" t="n">
        <v>1460033</v>
      </c>
      <c r="H18" s="43" t="n">
        <v>2078317</v>
      </c>
      <c r="I18" s="43" t="n">
        <v>5555</v>
      </c>
      <c r="J18" s="43" t="n">
        <v>218881</v>
      </c>
      <c r="K18" s="43" t="n">
        <v>1460033</v>
      </c>
      <c r="L18" s="44" t="n">
        <v>1.42</v>
      </c>
      <c r="M18" s="18" t="n">
        <f aca="false">IFERROR(F18/H18*1000,"")</f>
        <v>0.237658643989343</v>
      </c>
      <c r="N18" s="23" t="n">
        <f aca="false">IFERROR(I18/H18,"")</f>
        <v>0.00267283576085843</v>
      </c>
      <c r="O18" s="18" t="n">
        <f aca="false">IF(I18&gt;0,F18/I18,"")</f>
        <v>0.0889162916291629</v>
      </c>
      <c r="P18" s="16" t="n">
        <f aca="false">IFERROR(J18/H18,"")</f>
        <v>0.105316465197561</v>
      </c>
      <c r="Q18" s="21" t="n">
        <f aca="false">IFERROR(F18/J18*1000,"")</f>
        <v>2.25661432467871</v>
      </c>
      <c r="R18" s="21" t="n">
        <f aca="false">IFERROR(F18/G18*1000,"")</f>
        <v>0.338300572658289</v>
      </c>
    </row>
    <row r="19" customFormat="false" ht="15" hidden="false" customHeight="false" outlineLevel="0" collapsed="false">
      <c r="A19" s="41" t="s">
        <v>108</v>
      </c>
      <c r="B19" s="41" t="s">
        <v>136</v>
      </c>
      <c r="C19" s="41" t="s">
        <v>227</v>
      </c>
      <c r="D19" s="41" t="s">
        <v>62</v>
      </c>
      <c r="E19" s="41" t="s">
        <v>88</v>
      </c>
      <c r="F19" s="42" t="n">
        <v>484.63</v>
      </c>
      <c r="G19" s="43" t="n">
        <v>1524866</v>
      </c>
      <c r="H19" s="43" t="n">
        <v>2038295</v>
      </c>
      <c r="I19" s="43" t="n">
        <v>4323</v>
      </c>
      <c r="J19" s="43" t="n">
        <v>446146</v>
      </c>
      <c r="K19" s="43" t="n">
        <v>1524866</v>
      </c>
      <c r="L19" s="44" t="n">
        <v>1.34</v>
      </c>
      <c r="M19" s="18" t="n">
        <f aca="false">IFERROR(F19/H19*1000,"")</f>
        <v>0.237762443610959</v>
      </c>
      <c r="N19" s="23" t="n">
        <f aca="false">IFERROR(I19/H19,"")</f>
        <v>0.00212089025386414</v>
      </c>
      <c r="O19" s="18" t="n">
        <f aca="false">IF(I19&gt;0,F19/I19,"")</f>
        <v>0.112105019662272</v>
      </c>
      <c r="P19" s="16" t="n">
        <f aca="false">IFERROR(J19/H19,"")</f>
        <v>0.218881957714659</v>
      </c>
      <c r="Q19" s="21" t="n">
        <f aca="false">IFERROR(F19/J19*1000,"")</f>
        <v>1.08625875834368</v>
      </c>
      <c r="R19" s="21" t="n">
        <f aca="false">IFERROR(F19/G19*1000,"")</f>
        <v>0.317818090245307</v>
      </c>
    </row>
    <row r="20" customFormat="false" ht="15" hidden="false" customHeight="false" outlineLevel="0" collapsed="false">
      <c r="A20" s="41" t="s">
        <v>115</v>
      </c>
      <c r="B20" s="41" t="s">
        <v>148</v>
      </c>
      <c r="C20" s="41" t="s">
        <v>228</v>
      </c>
      <c r="D20" s="41" t="s">
        <v>65</v>
      </c>
      <c r="E20" s="41" t="s">
        <v>229</v>
      </c>
      <c r="F20" s="42" t="n">
        <v>482</v>
      </c>
      <c r="G20" s="43" t="n">
        <v>1494028</v>
      </c>
      <c r="H20" s="43" t="n">
        <v>1741231</v>
      </c>
      <c r="I20" s="43" t="n">
        <v>5526</v>
      </c>
      <c r="J20" s="43" t="n">
        <v>931363</v>
      </c>
      <c r="K20" s="43" t="n">
        <v>403353</v>
      </c>
      <c r="L20" s="44" t="n">
        <v>1.17</v>
      </c>
      <c r="M20" s="18" t="n">
        <f aca="false">IFERROR(F20/H20*1000,"")</f>
        <v>0.276815655131341</v>
      </c>
      <c r="N20" s="23" t="n">
        <f aca="false">IFERROR(I20/H20,"")</f>
        <v>0.00317361682625683</v>
      </c>
      <c r="O20" s="18" t="n">
        <f aca="false">IF(I20&gt;0,F20/I20,"")</f>
        <v>0.087224031849439</v>
      </c>
      <c r="P20" s="16" t="n">
        <f aca="false">IFERROR(J20/H20,"")</f>
        <v>0.534887674294795</v>
      </c>
      <c r="Q20" s="21" t="n">
        <f aca="false">IFERROR(F20/J20*1000,"")</f>
        <v>0.51752109542681</v>
      </c>
      <c r="R20" s="21" t="n">
        <f aca="false">IFERROR(F20/G20*1000,"")</f>
        <v>0.322617782263786</v>
      </c>
    </row>
    <row r="21" customFormat="false" ht="15" hidden="false" customHeight="false" outlineLevel="0" collapsed="false">
      <c r="A21" s="41" t="s">
        <v>121</v>
      </c>
      <c r="B21" s="41" t="s">
        <v>147</v>
      </c>
      <c r="C21" s="41" t="s">
        <v>219</v>
      </c>
      <c r="D21" s="41" t="s">
        <v>65</v>
      </c>
      <c r="E21" s="41" t="s">
        <v>147</v>
      </c>
      <c r="F21" s="42" t="n">
        <v>477.21</v>
      </c>
      <c r="G21" s="43" t="n">
        <v>965189</v>
      </c>
      <c r="H21" s="43" t="n">
        <v>1272704</v>
      </c>
      <c r="I21" s="43" t="n">
        <v>3</v>
      </c>
      <c r="J21" s="43" t="n">
        <v>346239</v>
      </c>
      <c r="K21" s="43" t="n">
        <v>124504</v>
      </c>
      <c r="L21" s="44" t="n">
        <v>1.32</v>
      </c>
      <c r="M21" s="18" t="n">
        <f aca="false">IFERROR(F21/H21*1000,"")</f>
        <v>0.374957570652721</v>
      </c>
      <c r="N21" s="23" t="n">
        <f aca="false">IFERROR(I21/H21,"")</f>
        <v>2.35718595997184E-006</v>
      </c>
      <c r="O21" s="18" t="n">
        <f aca="false">IF(I21&gt;0,F21/I21,"")</f>
        <v>159.07</v>
      </c>
      <c r="P21" s="16" t="n">
        <f aca="false">IFERROR(J21/H21,"")</f>
        <v>0.27204990319823</v>
      </c>
      <c r="Q21" s="21" t="n">
        <f aca="false">IFERROR(F21/J21*1000,"")</f>
        <v>1.37826761283391</v>
      </c>
      <c r="R21" s="21" t="n">
        <f aca="false">IFERROR(F21/G21*1000,"")</f>
        <v>0.494421299869766</v>
      </c>
    </row>
    <row r="22" customFormat="false" ht="15" hidden="false" customHeight="false" outlineLevel="0" collapsed="false">
      <c r="A22" s="41" t="s">
        <v>122</v>
      </c>
      <c r="B22" s="41" t="s">
        <v>145</v>
      </c>
      <c r="C22" s="41" t="s">
        <v>217</v>
      </c>
      <c r="D22" s="41" t="s">
        <v>62</v>
      </c>
      <c r="E22" s="41" t="s">
        <v>92</v>
      </c>
      <c r="F22" s="42" t="n">
        <v>462</v>
      </c>
      <c r="G22" s="43" t="n">
        <v>590811</v>
      </c>
      <c r="H22" s="43" t="n">
        <v>915175</v>
      </c>
      <c r="I22" s="43" t="n">
        <v>3386</v>
      </c>
      <c r="J22" s="43" t="n">
        <v>286309</v>
      </c>
      <c r="K22" s="43" t="n">
        <v>590811</v>
      </c>
      <c r="L22" s="44" t="n">
        <v>1.55</v>
      </c>
      <c r="M22" s="18" t="n">
        <f aca="false">IFERROR(F22/H22*1000,"")</f>
        <v>0.504821482230175</v>
      </c>
      <c r="N22" s="23" t="n">
        <f aca="false">IFERROR(I22/H22,"")</f>
        <v>0.00369983882863933</v>
      </c>
      <c r="O22" s="18" t="n">
        <f aca="false">IF(I22&gt;0,F22/I22,"")</f>
        <v>0.136444181925576</v>
      </c>
      <c r="P22" s="16" t="n">
        <f aca="false">IFERROR(J22/H22,"")</f>
        <v>0.312846176960691</v>
      </c>
      <c r="Q22" s="21" t="n">
        <f aca="false">IFERROR(F22/J22*1000,"")</f>
        <v>1.61364120583006</v>
      </c>
      <c r="R22" s="21" t="n">
        <f aca="false">IFERROR(F22/G22*1000,"")</f>
        <v>0.781975961855822</v>
      </c>
    </row>
    <row r="23" customFormat="false" ht="15" hidden="false" customHeight="false" outlineLevel="0" collapsed="false">
      <c r="A23" s="41" t="s">
        <v>110</v>
      </c>
      <c r="B23" s="41" t="s">
        <v>138</v>
      </c>
      <c r="C23" s="41" t="s">
        <v>230</v>
      </c>
      <c r="D23" s="41" t="s">
        <v>62</v>
      </c>
      <c r="E23" s="41" t="s">
        <v>89</v>
      </c>
      <c r="F23" s="42" t="n">
        <v>453.07</v>
      </c>
      <c r="G23" s="43" t="n">
        <v>1348225</v>
      </c>
      <c r="H23" s="43" t="n">
        <v>1654541</v>
      </c>
      <c r="I23" s="43" t="n">
        <v>4166</v>
      </c>
      <c r="J23" s="43" t="n">
        <v>258981</v>
      </c>
      <c r="K23" s="43" t="n">
        <v>1348225</v>
      </c>
      <c r="L23" s="44" t="n">
        <v>1.23</v>
      </c>
      <c r="M23" s="18" t="n">
        <f aca="false">IFERROR(F23/H23*1000,"")</f>
        <v>0.273834253729584</v>
      </c>
      <c r="N23" s="23" t="n">
        <f aca="false">IFERROR(I23/H23,"")</f>
        <v>0.00251791886692442</v>
      </c>
      <c r="O23" s="18" t="n">
        <f aca="false">IF(I23&gt;0,F23/I23,"")</f>
        <v>0.108754200672108</v>
      </c>
      <c r="P23" s="16" t="n">
        <f aca="false">IFERROR(J23/H23,"")</f>
        <v>0.1565273994419</v>
      </c>
      <c r="Q23" s="21" t="n">
        <f aca="false">IFERROR(F23/J23*1000,"")</f>
        <v>1.74943335611493</v>
      </c>
      <c r="R23" s="21" t="n">
        <f aca="false">IFERROR(F23/G23*1000,"")</f>
        <v>0.336049249939736</v>
      </c>
    </row>
    <row r="24" customFormat="false" ht="15" hidden="false" customHeight="false" outlineLevel="0" collapsed="false">
      <c r="A24" s="41" t="s">
        <v>113</v>
      </c>
      <c r="B24" s="41" t="s">
        <v>140</v>
      </c>
      <c r="C24" s="41" t="s">
        <v>231</v>
      </c>
      <c r="D24" s="41" t="s">
        <v>62</v>
      </c>
      <c r="E24" s="41" t="s">
        <v>89</v>
      </c>
      <c r="F24" s="42" t="n">
        <v>434.53</v>
      </c>
      <c r="G24" s="43" t="n">
        <v>1216413</v>
      </c>
      <c r="H24" s="43" t="n">
        <v>2435806</v>
      </c>
      <c r="I24" s="43" t="n">
        <v>5160</v>
      </c>
      <c r="J24" s="43" t="n">
        <v>199890</v>
      </c>
      <c r="K24" s="43" t="n">
        <v>1216413</v>
      </c>
      <c r="L24" s="44" t="n">
        <v>2</v>
      </c>
      <c r="M24" s="18" t="n">
        <f aca="false">IFERROR(F24/H24*1000,"")</f>
        <v>0.178392696298474</v>
      </c>
      <c r="N24" s="23" t="n">
        <f aca="false">IFERROR(I24/H24,"")</f>
        <v>0.00211839530734385</v>
      </c>
      <c r="O24" s="18" t="n">
        <f aca="false">IF(I24&gt;0,F24/I24,"")</f>
        <v>0.0842112403100775</v>
      </c>
      <c r="P24" s="16" t="n">
        <f aca="false">IFERROR(J24/H24,"")</f>
        <v>0.0820631856560005</v>
      </c>
      <c r="Q24" s="21" t="n">
        <f aca="false">IFERROR(F24/J24*1000,"")</f>
        <v>2.1738456150883</v>
      </c>
      <c r="R24" s="21" t="n">
        <f aca="false">IFERROR(F24/G24*1000,"")</f>
        <v>0.357222423634078</v>
      </c>
    </row>
    <row r="25" customFormat="false" ht="15" hidden="false" customHeight="false" outlineLevel="0" collapsed="false">
      <c r="A25" s="41" t="s">
        <v>123</v>
      </c>
      <c r="B25" s="41" t="s">
        <v>150</v>
      </c>
      <c r="C25" s="41" t="s">
        <v>232</v>
      </c>
      <c r="D25" s="41" t="s">
        <v>62</v>
      </c>
      <c r="E25" s="41" t="s">
        <v>164</v>
      </c>
      <c r="F25" s="42" t="n">
        <v>431.42</v>
      </c>
      <c r="G25" s="43" t="n">
        <v>2154806</v>
      </c>
      <c r="H25" s="43" t="n">
        <v>2285573</v>
      </c>
      <c r="I25" s="43" t="n">
        <v>5039</v>
      </c>
      <c r="J25" s="43" t="n">
        <v>227241</v>
      </c>
      <c r="K25" s="43" t="n">
        <v>2154806</v>
      </c>
      <c r="L25" s="44" t="n">
        <v>1.06</v>
      </c>
      <c r="M25" s="18" t="n">
        <f aca="false">IFERROR(F25/H25*1000,"")</f>
        <v>0.188757917598782</v>
      </c>
      <c r="N25" s="23" t="n">
        <f aca="false">IFERROR(I25/H25,"")</f>
        <v>0.00220469877794321</v>
      </c>
      <c r="O25" s="18" t="n">
        <f aca="false">IF(I25&gt;0,F25/I25,"")</f>
        <v>0.0856161936892241</v>
      </c>
      <c r="P25" s="16" t="n">
        <f aca="false">IFERROR(J25/H25,"")</f>
        <v>0.0994240831511398</v>
      </c>
      <c r="Q25" s="21" t="n">
        <f aca="false">IFERROR(F25/J25*1000,"")</f>
        <v>1.89851303241933</v>
      </c>
      <c r="R25" s="21" t="n">
        <f aca="false">IFERROR(F25/G25*1000,"")</f>
        <v>0.200212919399705</v>
      </c>
    </row>
    <row r="26" customFormat="false" ht="15" hidden="false" customHeight="false" outlineLevel="0" collapsed="false">
      <c r="A26" s="41" t="s">
        <v>112</v>
      </c>
      <c r="B26" s="41" t="s">
        <v>142</v>
      </c>
      <c r="C26" s="41" t="s">
        <v>233</v>
      </c>
      <c r="D26" s="41" t="s">
        <v>62</v>
      </c>
      <c r="E26" s="41" t="s">
        <v>91</v>
      </c>
      <c r="F26" s="42" t="n">
        <v>425.11</v>
      </c>
      <c r="G26" s="43" t="n">
        <v>1294932</v>
      </c>
      <c r="H26" s="43" t="n">
        <v>1583424</v>
      </c>
      <c r="I26" s="43" t="n">
        <v>4238</v>
      </c>
      <c r="J26" s="43" t="n">
        <v>187053</v>
      </c>
      <c r="K26" s="43" t="n">
        <v>1294932</v>
      </c>
      <c r="L26" s="44" t="n">
        <v>1.22</v>
      </c>
      <c r="M26" s="18" t="n">
        <f aca="false">IFERROR(F26/H26*1000,"")</f>
        <v>0.268475152580736</v>
      </c>
      <c r="N26" s="23" t="n">
        <f aca="false">IFERROR(I26/H26,"")</f>
        <v>0.002676478315347</v>
      </c>
      <c r="O26" s="18" t="n">
        <f aca="false">IF(I26&gt;0,F26/I26,"")</f>
        <v>0.100309108069844</v>
      </c>
      <c r="P26" s="16" t="n">
        <f aca="false">IFERROR(J26/H26,"")</f>
        <v>0.118131972232327</v>
      </c>
      <c r="Q26" s="21" t="n">
        <f aca="false">IFERROR(F26/J26*1000,"")</f>
        <v>2.2726713819078</v>
      </c>
      <c r="R26" s="21" t="n">
        <f aca="false">IFERROR(F26/G26*1000,"")</f>
        <v>0.328287508533267</v>
      </c>
    </row>
    <row r="27" customFormat="false" ht="15" hidden="false" customHeight="false" outlineLevel="0" collapsed="false">
      <c r="A27" s="41" t="s">
        <v>111</v>
      </c>
      <c r="B27" s="41" t="s">
        <v>139</v>
      </c>
      <c r="C27" s="41" t="s">
        <v>234</v>
      </c>
      <c r="D27" s="41" t="s">
        <v>62</v>
      </c>
      <c r="E27" s="41" t="s">
        <v>91</v>
      </c>
      <c r="F27" s="42" t="n">
        <v>407.27</v>
      </c>
      <c r="G27" s="43" t="n">
        <v>1036236</v>
      </c>
      <c r="H27" s="43" t="n">
        <v>1088675</v>
      </c>
      <c r="I27" s="43" t="n">
        <v>3202</v>
      </c>
      <c r="J27" s="43" t="n">
        <v>144124</v>
      </c>
      <c r="K27" s="43" t="n">
        <v>1036236</v>
      </c>
      <c r="L27" s="44" t="n">
        <v>1.05</v>
      </c>
      <c r="M27" s="18" t="n">
        <f aca="false">IFERROR(F27/H27*1000,"")</f>
        <v>0.374096952717753</v>
      </c>
      <c r="N27" s="23" t="n">
        <f aca="false">IFERROR(I27/H27,"")</f>
        <v>0.00294118997864376</v>
      </c>
      <c r="O27" s="18" t="n">
        <f aca="false">IF(I27&gt;0,F27/I27,"")</f>
        <v>0.127192379762648</v>
      </c>
      <c r="P27" s="16" t="n">
        <f aca="false">IFERROR(J27/H27,"")</f>
        <v>0.132384779663352</v>
      </c>
      <c r="Q27" s="21" t="n">
        <f aca="false">IFERROR(F27/J27*1000,"")</f>
        <v>2.82583053481724</v>
      </c>
      <c r="R27" s="21" t="n">
        <f aca="false">IFERROR(F27/G27*1000,"")</f>
        <v>0.39302822909067</v>
      </c>
    </row>
    <row r="28" customFormat="false" ht="15" hidden="false" customHeight="false" outlineLevel="0" collapsed="false">
      <c r="A28" s="41" t="s">
        <v>108</v>
      </c>
      <c r="B28" s="41" t="s">
        <v>136</v>
      </c>
      <c r="C28" s="41" t="s">
        <v>235</v>
      </c>
      <c r="D28" s="41" t="s">
        <v>62</v>
      </c>
      <c r="E28" s="41" t="s">
        <v>88</v>
      </c>
      <c r="F28" s="42" t="n">
        <v>397.78</v>
      </c>
      <c r="G28" s="43" t="n">
        <v>1508793</v>
      </c>
      <c r="H28" s="43" t="n">
        <v>1727608</v>
      </c>
      <c r="I28" s="43" t="n">
        <v>3780</v>
      </c>
      <c r="J28" s="43" t="n">
        <v>239122</v>
      </c>
      <c r="K28" s="43" t="n">
        <v>1508793</v>
      </c>
      <c r="L28" s="44" t="n">
        <v>1.15</v>
      </c>
      <c r="M28" s="18" t="n">
        <f aca="false">IFERROR(F28/H28*1000,"")</f>
        <v>0.230248991669406</v>
      </c>
      <c r="N28" s="23" t="n">
        <f aca="false">IFERROR(I28/H28,"")</f>
        <v>0.00218799635102408</v>
      </c>
      <c r="O28" s="18" t="n">
        <f aca="false">IF(I28&gt;0,F28/I28,"")</f>
        <v>0.105232804232804</v>
      </c>
      <c r="P28" s="16" t="n">
        <f aca="false">IFERROR(J28/H28,"")</f>
        <v>0.138412186097772</v>
      </c>
      <c r="Q28" s="21" t="n">
        <f aca="false">IFERROR(F28/J28*1000,"")</f>
        <v>1.66350231262703</v>
      </c>
      <c r="R28" s="21" t="n">
        <f aca="false">IFERROR(F28/G28*1000,"")</f>
        <v>0.263641201940889</v>
      </c>
    </row>
    <row r="29" customFormat="false" ht="15" hidden="false" customHeight="false" outlineLevel="0" collapsed="false">
      <c r="A29" s="41" t="s">
        <v>114</v>
      </c>
      <c r="B29" s="41" t="s">
        <v>141</v>
      </c>
      <c r="C29" s="41" t="s">
        <v>236</v>
      </c>
      <c r="D29" s="41" t="s">
        <v>62</v>
      </c>
      <c r="E29" s="41" t="s">
        <v>221</v>
      </c>
      <c r="F29" s="42" t="n">
        <v>396.54</v>
      </c>
      <c r="G29" s="43" t="n">
        <v>1381742</v>
      </c>
      <c r="H29" s="43" t="n">
        <v>1720539</v>
      </c>
      <c r="I29" s="43" t="n">
        <v>0</v>
      </c>
      <c r="J29" s="43" t="n">
        <v>213835</v>
      </c>
      <c r="K29" s="43" t="n">
        <v>1381742</v>
      </c>
      <c r="L29" s="44" t="n">
        <v>1.25</v>
      </c>
      <c r="M29" s="18" t="n">
        <f aca="false">IFERROR(F29/H29*1000,"")</f>
        <v>0.230474287418071</v>
      </c>
      <c r="N29" s="23" t="n">
        <f aca="false">IFERROR(I29/H29,"")</f>
        <v>0</v>
      </c>
      <c r="O29" s="18" t="str">
        <f aca="false">IF(I29&gt;0,F29/I29,"")</f>
        <v/>
      </c>
      <c r="P29" s="16" t="n">
        <f aca="false">IFERROR(J29/H29,"")</f>
        <v>0.124283727366831</v>
      </c>
      <c r="Q29" s="21" t="n">
        <f aca="false">IFERROR(F29/J29*1000,"")</f>
        <v>1.85442046437674</v>
      </c>
      <c r="R29" s="21" t="n">
        <f aca="false">IFERROR(F29/G29*1000,"")</f>
        <v>0.286985558809098</v>
      </c>
    </row>
    <row r="30" customFormat="false" ht="15" hidden="false" customHeight="false" outlineLevel="0" collapsed="false">
      <c r="A30" s="41" t="s">
        <v>110</v>
      </c>
      <c r="B30" s="41" t="s">
        <v>138</v>
      </c>
      <c r="C30" s="41" t="s">
        <v>237</v>
      </c>
      <c r="D30" s="41" t="s">
        <v>62</v>
      </c>
      <c r="E30" s="41" t="s">
        <v>89</v>
      </c>
      <c r="F30" s="42" t="n">
        <v>365.75</v>
      </c>
      <c r="G30" s="43" t="n">
        <v>1036849</v>
      </c>
      <c r="H30" s="43" t="n">
        <v>1117477</v>
      </c>
      <c r="I30" s="43" t="n">
        <v>3252</v>
      </c>
      <c r="J30" s="43" t="n">
        <v>185600</v>
      </c>
      <c r="K30" s="43" t="n">
        <v>1036849</v>
      </c>
      <c r="L30" s="44" t="n">
        <v>1.08</v>
      </c>
      <c r="M30" s="18" t="n">
        <f aca="false">IFERROR(F30/H30*1000,"")</f>
        <v>0.327299801248706</v>
      </c>
      <c r="N30" s="23" t="n">
        <f aca="false">IFERROR(I30/H30,"")</f>
        <v>0.00291012700932547</v>
      </c>
      <c r="O30" s="18" t="n">
        <f aca="false">IF(I30&gt;0,F30/I30,"")</f>
        <v>0.112469249692497</v>
      </c>
      <c r="P30" s="16" t="n">
        <f aca="false">IFERROR(J30/H30,"")</f>
        <v>0.166088429560519</v>
      </c>
      <c r="Q30" s="21" t="n">
        <f aca="false">IFERROR(F30/J30*1000,"")</f>
        <v>1.97063577586207</v>
      </c>
      <c r="R30" s="21" t="n">
        <f aca="false">IFERROR(F30/G30*1000,"")</f>
        <v>0.352751461398912</v>
      </c>
    </row>
    <row r="31" customFormat="false" ht="15" hidden="false" customHeight="false" outlineLevel="0" collapsed="false">
      <c r="A31" s="41" t="s">
        <v>110</v>
      </c>
      <c r="B31" s="41" t="s">
        <v>138</v>
      </c>
      <c r="C31" s="41" t="s">
        <v>238</v>
      </c>
      <c r="D31" s="41" t="s">
        <v>62</v>
      </c>
      <c r="E31" s="41" t="s">
        <v>89</v>
      </c>
      <c r="F31" s="42" t="n">
        <v>355.57</v>
      </c>
      <c r="G31" s="43" t="n">
        <v>2126943</v>
      </c>
      <c r="H31" s="43" t="n">
        <v>2319513</v>
      </c>
      <c r="I31" s="43" t="n">
        <v>6453</v>
      </c>
      <c r="J31" s="43" t="n">
        <v>559478</v>
      </c>
      <c r="K31" s="43" t="n">
        <v>2126943</v>
      </c>
      <c r="L31" s="44" t="n">
        <v>1.09</v>
      </c>
      <c r="M31" s="18" t="n">
        <f aca="false">IFERROR(F31/H31*1000,"")</f>
        <v>0.153295109792443</v>
      </c>
      <c r="N31" s="23" t="n">
        <f aca="false">IFERROR(I31/H31,"")</f>
        <v>0.00278204950780616</v>
      </c>
      <c r="O31" s="18" t="n">
        <f aca="false">IF(I31&gt;0,F31/I31,"")</f>
        <v>0.055101503176817</v>
      </c>
      <c r="P31" s="16" t="n">
        <f aca="false">IFERROR(J31/H31,"")</f>
        <v>0.241204942589242</v>
      </c>
      <c r="Q31" s="21" t="n">
        <f aca="false">IFERROR(F31/J31*1000,"")</f>
        <v>0.635538841563028</v>
      </c>
      <c r="R31" s="21" t="n">
        <f aca="false">IFERROR(F31/G31*1000,"")</f>
        <v>0.167174202599694</v>
      </c>
    </row>
    <row r="32" customFormat="false" ht="15" hidden="false" customHeight="false" outlineLevel="0" collapsed="false">
      <c r="A32" s="41" t="s">
        <v>110</v>
      </c>
      <c r="B32" s="41" t="s">
        <v>138</v>
      </c>
      <c r="C32" s="41" t="s">
        <v>138</v>
      </c>
      <c r="D32" s="41" t="s">
        <v>62</v>
      </c>
      <c r="E32" s="41" t="s">
        <v>89</v>
      </c>
      <c r="F32" s="42" t="n">
        <v>329.12</v>
      </c>
      <c r="G32" s="43" t="n">
        <v>1287237</v>
      </c>
      <c r="H32" s="43" t="n">
        <v>1539522</v>
      </c>
      <c r="I32" s="43" t="n">
        <v>3046</v>
      </c>
      <c r="J32" s="43" t="n">
        <v>85793</v>
      </c>
      <c r="K32" s="43" t="n">
        <v>1287237</v>
      </c>
      <c r="L32" s="44" t="n">
        <v>1.2</v>
      </c>
      <c r="M32" s="18" t="n">
        <f aca="false">IFERROR(F32/H32*1000,"")</f>
        <v>0.213780641004156</v>
      </c>
      <c r="N32" s="23" t="n">
        <f aca="false">IFERROR(I32/H32,"")</f>
        <v>0.00197853619500079</v>
      </c>
      <c r="O32" s="18" t="n">
        <f aca="false">IF(I32&gt;0,F32/I32,"")</f>
        <v>0.108049901510177</v>
      </c>
      <c r="P32" s="16" t="n">
        <f aca="false">IFERROR(J32/H32,"")</f>
        <v>0.0557270373531525</v>
      </c>
      <c r="Q32" s="21" t="n">
        <f aca="false">IFERROR(F32/J32*1000,"")</f>
        <v>3.83621041343699</v>
      </c>
      <c r="R32" s="21" t="n">
        <f aca="false">IFERROR(F32/G32*1000,"")</f>
        <v>0.255679412571267</v>
      </c>
    </row>
    <row r="33" customFormat="false" ht="15" hidden="false" customHeight="false" outlineLevel="0" collapsed="false">
      <c r="A33" s="41" t="s">
        <v>110</v>
      </c>
      <c r="B33" s="41" t="s">
        <v>138</v>
      </c>
      <c r="C33" s="41" t="s">
        <v>239</v>
      </c>
      <c r="D33" s="41" t="s">
        <v>62</v>
      </c>
      <c r="E33" s="41" t="s">
        <v>89</v>
      </c>
      <c r="F33" s="42" t="n">
        <v>324.25</v>
      </c>
      <c r="G33" s="43" t="n">
        <v>1775988</v>
      </c>
      <c r="H33" s="43" t="n">
        <v>1879195</v>
      </c>
      <c r="I33" s="43" t="n">
        <v>4006</v>
      </c>
      <c r="J33" s="43" t="n">
        <v>187885</v>
      </c>
      <c r="K33" s="43" t="n">
        <v>1775988</v>
      </c>
      <c r="L33" s="44" t="n">
        <v>1.06</v>
      </c>
      <c r="M33" s="18" t="n">
        <f aca="false">IFERROR(F33/H33*1000,"")</f>
        <v>0.172547287535354</v>
      </c>
      <c r="N33" s="23" t="n">
        <f aca="false">IFERROR(I33/H33,"")</f>
        <v>0.00213176386697495</v>
      </c>
      <c r="O33" s="18" t="n">
        <f aca="false">IF(I33&gt;0,F33/I33,"")</f>
        <v>0.0809410883674488</v>
      </c>
      <c r="P33" s="16" t="n">
        <f aca="false">IFERROR(J33/H33,"")</f>
        <v>0.0999816410750348</v>
      </c>
      <c r="Q33" s="21" t="n">
        <f aca="false">IFERROR(F33/J33*1000,"")</f>
        <v>1.72578971179179</v>
      </c>
      <c r="R33" s="21" t="n">
        <f aca="false">IFERROR(F33/G33*1000,"")</f>
        <v>0.182574431809224</v>
      </c>
    </row>
    <row r="34" customFormat="false" ht="15" hidden="false" customHeight="false" outlineLevel="0" collapsed="false">
      <c r="A34" s="41" t="s">
        <v>112</v>
      </c>
      <c r="B34" s="41" t="s">
        <v>142</v>
      </c>
      <c r="C34" s="41" t="s">
        <v>240</v>
      </c>
      <c r="D34" s="41" t="s">
        <v>62</v>
      </c>
      <c r="E34" s="41" t="s">
        <v>91</v>
      </c>
      <c r="F34" s="42" t="n">
        <v>308.87</v>
      </c>
      <c r="G34" s="43" t="n">
        <v>1031722</v>
      </c>
      <c r="H34" s="43" t="n">
        <v>1405679</v>
      </c>
      <c r="I34" s="43" t="n">
        <v>4143</v>
      </c>
      <c r="J34" s="43" t="n">
        <v>428289</v>
      </c>
      <c r="K34" s="43" t="n">
        <v>1031722</v>
      </c>
      <c r="L34" s="44" t="n">
        <v>1.36</v>
      </c>
      <c r="M34" s="18" t="n">
        <f aca="false">IFERROR(F34/H34*1000,"")</f>
        <v>0.219730109078958</v>
      </c>
      <c r="N34" s="23" t="n">
        <f aca="false">IFERROR(I34/H34,"")</f>
        <v>0.0029473300803384</v>
      </c>
      <c r="O34" s="18" t="n">
        <f aca="false">IF(I34&gt;0,F34/I34,"")</f>
        <v>0.0745522568187304</v>
      </c>
      <c r="P34" s="16" t="n">
        <f aca="false">IFERROR(J34/H34,"")</f>
        <v>0.304684782229798</v>
      </c>
      <c r="Q34" s="21" t="n">
        <f aca="false">IFERROR(F34/J34*1000,"")</f>
        <v>0.721171918961262</v>
      </c>
      <c r="R34" s="21" t="n">
        <f aca="false">IFERROR(F34/G34*1000,"")</f>
        <v>0.299373280786879</v>
      </c>
    </row>
    <row r="35" customFormat="false" ht="15" hidden="false" customHeight="false" outlineLevel="0" collapsed="false">
      <c r="A35" s="41" t="s">
        <v>108</v>
      </c>
      <c r="B35" s="41" t="s">
        <v>136</v>
      </c>
      <c r="C35" s="41" t="s">
        <v>241</v>
      </c>
      <c r="D35" s="41" t="s">
        <v>62</v>
      </c>
      <c r="E35" s="41" t="s">
        <v>88</v>
      </c>
      <c r="F35" s="42" t="n">
        <v>299.85</v>
      </c>
      <c r="G35" s="43" t="n">
        <v>986528</v>
      </c>
      <c r="H35" s="43" t="n">
        <v>1027655</v>
      </c>
      <c r="I35" s="43" t="n">
        <v>3250</v>
      </c>
      <c r="J35" s="43" t="n">
        <v>305418</v>
      </c>
      <c r="K35" s="43" t="n">
        <v>986528</v>
      </c>
      <c r="L35" s="44" t="n">
        <v>1.04</v>
      </c>
      <c r="M35" s="18" t="n">
        <f aca="false">IFERROR(F35/H35*1000,"")</f>
        <v>0.291780801922824</v>
      </c>
      <c r="N35" s="23" t="n">
        <f aca="false">IFERROR(I35/H35,"")</f>
        <v>0.003162539957476</v>
      </c>
      <c r="O35" s="18" t="n">
        <f aca="false">IF(I35&gt;0,F35/I35,"")</f>
        <v>0.0922615384615385</v>
      </c>
      <c r="P35" s="16" t="n">
        <f aca="false">IFERROR(J35/H35,"")</f>
        <v>0.297198962686894</v>
      </c>
      <c r="Q35" s="21" t="n">
        <f aca="false">IFERROR(F35/J35*1000,"")</f>
        <v>0.981769247392099</v>
      </c>
      <c r="R35" s="21" t="n">
        <f aca="false">IFERROR(F35/G35*1000,"")</f>
        <v>0.303944743585585</v>
      </c>
    </row>
    <row r="36" customFormat="false" ht="15" hidden="false" customHeight="false" outlineLevel="0" collapsed="false">
      <c r="A36" s="41" t="s">
        <v>114</v>
      </c>
      <c r="B36" s="41" t="s">
        <v>141</v>
      </c>
      <c r="C36" s="41" t="s">
        <v>242</v>
      </c>
      <c r="D36" s="41" t="s">
        <v>62</v>
      </c>
      <c r="E36" s="41" t="s">
        <v>221</v>
      </c>
      <c r="F36" s="42" t="n">
        <v>266.56</v>
      </c>
      <c r="G36" s="43" t="n">
        <v>1018753</v>
      </c>
      <c r="H36" s="43" t="n">
        <v>1098201</v>
      </c>
      <c r="I36" s="43" t="n">
        <v>2972</v>
      </c>
      <c r="J36" s="43" t="n">
        <v>137836</v>
      </c>
      <c r="K36" s="43" t="n">
        <v>1018753</v>
      </c>
      <c r="L36" s="44" t="n">
        <v>1.08</v>
      </c>
      <c r="M36" s="18" t="n">
        <f aca="false">IFERROR(F36/H36*1000,"")</f>
        <v>0.242724237184268</v>
      </c>
      <c r="N36" s="23" t="n">
        <f aca="false">IFERROR(I36/H36,"")</f>
        <v>0.00270624412106709</v>
      </c>
      <c r="O36" s="18" t="n">
        <f aca="false">IF(I36&gt;0,F36/I36,"")</f>
        <v>0.0896904441453567</v>
      </c>
      <c r="P36" s="16" t="n">
        <f aca="false">IFERROR(J36/H36,"")</f>
        <v>0.12551072162564</v>
      </c>
      <c r="Q36" s="21" t="n">
        <f aca="false">IFERROR(F36/J36*1000,"")</f>
        <v>1.93389245189936</v>
      </c>
      <c r="R36" s="21" t="n">
        <f aca="false">IFERROR(F36/G36*1000,"")</f>
        <v>0.26165321721752</v>
      </c>
    </row>
    <row r="37" customFormat="false" ht="15" hidden="false" customHeight="false" outlineLevel="0" collapsed="false">
      <c r="A37" s="41" t="s">
        <v>111</v>
      </c>
      <c r="B37" s="41" t="s">
        <v>151</v>
      </c>
      <c r="C37" s="41" t="s">
        <v>234</v>
      </c>
      <c r="D37" s="41" t="s">
        <v>62</v>
      </c>
      <c r="E37" s="41" t="s">
        <v>91</v>
      </c>
      <c r="F37" s="42" t="n">
        <v>249.55</v>
      </c>
      <c r="G37" s="43" t="n">
        <v>452448</v>
      </c>
      <c r="H37" s="43" t="n">
        <v>598538</v>
      </c>
      <c r="I37" s="43" t="n">
        <v>2571</v>
      </c>
      <c r="J37" s="43" t="n">
        <v>69011</v>
      </c>
      <c r="K37" s="43" t="n">
        <v>452448</v>
      </c>
      <c r="L37" s="44" t="n">
        <v>1.32</v>
      </c>
      <c r="M37" s="18" t="n">
        <f aca="false">IFERROR(F37/H37*1000,"")</f>
        <v>0.416932592416856</v>
      </c>
      <c r="N37" s="23" t="n">
        <f aca="false">IFERROR(I37/H37,"")</f>
        <v>0.00429546662033154</v>
      </c>
      <c r="O37" s="18" t="n">
        <f aca="false">IF(I37&gt;0,F37/I37,"")</f>
        <v>0.0970633994554648</v>
      </c>
      <c r="P37" s="16" t="n">
        <f aca="false">IFERROR(J37/H37,"")</f>
        <v>0.115299279243757</v>
      </c>
      <c r="Q37" s="21" t="n">
        <f aca="false">IFERROR(F37/J37*1000,"")</f>
        <v>3.61609018852067</v>
      </c>
      <c r="R37" s="21" t="n">
        <f aca="false">IFERROR(F37/G37*1000,"")</f>
        <v>0.551555095834218</v>
      </c>
    </row>
    <row r="38" customFormat="false" ht="15" hidden="false" customHeight="false" outlineLevel="0" collapsed="false">
      <c r="A38" s="41" t="s">
        <v>112</v>
      </c>
      <c r="B38" s="41" t="s">
        <v>149</v>
      </c>
      <c r="C38" s="41" t="s">
        <v>233</v>
      </c>
      <c r="D38" s="41" t="s">
        <v>62</v>
      </c>
      <c r="E38" s="41" t="s">
        <v>91</v>
      </c>
      <c r="F38" s="42" t="n">
        <v>238.61</v>
      </c>
      <c r="G38" s="43" t="n">
        <v>537156</v>
      </c>
      <c r="H38" s="43" t="n">
        <v>987952</v>
      </c>
      <c r="I38" s="43" t="n">
        <v>2969</v>
      </c>
      <c r="J38" s="43" t="n">
        <v>93702</v>
      </c>
      <c r="K38" s="43" t="n">
        <v>537156</v>
      </c>
      <c r="L38" s="44" t="n">
        <v>1.84</v>
      </c>
      <c r="M38" s="18" t="n">
        <f aca="false">IFERROR(F38/H38*1000,"")</f>
        <v>0.24151983092296</v>
      </c>
      <c r="N38" s="23" t="n">
        <f aca="false">IFERROR(I38/H38,"")</f>
        <v>0.00300520673069137</v>
      </c>
      <c r="O38" s="18" t="n">
        <f aca="false">IF(I38&gt;0,F38/I38,"")</f>
        <v>0.0803671269787807</v>
      </c>
      <c r="P38" s="16" t="n">
        <f aca="false">IFERROR(J38/H38,"")</f>
        <v>0.0948446888107924</v>
      </c>
      <c r="Q38" s="21" t="n">
        <f aca="false">IFERROR(F38/J38*1000,"")</f>
        <v>2.5464771296237</v>
      </c>
      <c r="R38" s="21" t="n">
        <f aca="false">IFERROR(F38/G38*1000,"")</f>
        <v>0.444209875715807</v>
      </c>
    </row>
    <row r="39" customFormat="false" ht="15" hidden="false" customHeight="false" outlineLevel="0" collapsed="false">
      <c r="A39" s="41" t="s">
        <v>117</v>
      </c>
      <c r="B39" s="41" t="s">
        <v>143</v>
      </c>
      <c r="C39" s="41" t="s">
        <v>243</v>
      </c>
      <c r="D39" s="41" t="s">
        <v>62</v>
      </c>
      <c r="E39" s="41" t="s">
        <v>90</v>
      </c>
      <c r="F39" s="42" t="n">
        <v>229.53</v>
      </c>
      <c r="G39" s="43" t="n">
        <v>1312648</v>
      </c>
      <c r="H39" s="43" t="n">
        <v>1348557</v>
      </c>
      <c r="I39" s="43" t="n">
        <v>2451</v>
      </c>
      <c r="J39" s="43" t="n">
        <v>199636</v>
      </c>
      <c r="K39" s="43" t="n">
        <v>1312648</v>
      </c>
      <c r="L39" s="44" t="n">
        <v>1.03</v>
      </c>
      <c r="M39" s="18" t="n">
        <f aca="false">IFERROR(F39/H39*1000,"")</f>
        <v>0.170204151548655</v>
      </c>
      <c r="N39" s="23" t="n">
        <f aca="false">IFERROR(I39/H39,"")</f>
        <v>0.00181749825925044</v>
      </c>
      <c r="O39" s="18" t="n">
        <f aca="false">IF(I39&gt;0,F39/I39,"")</f>
        <v>0.0936474908200734</v>
      </c>
      <c r="P39" s="16" t="n">
        <f aca="false">IFERROR(J39/H39,"")</f>
        <v>0.148036753359332</v>
      </c>
      <c r="Q39" s="21" t="n">
        <f aca="false">IFERROR(F39/J39*1000,"")</f>
        <v>1.14974253140716</v>
      </c>
      <c r="R39" s="21" t="n">
        <f aca="false">IFERROR(F39/G39*1000,"")</f>
        <v>0.174860282421487</v>
      </c>
    </row>
    <row r="40" customFormat="false" ht="15" hidden="false" customHeight="false" outlineLevel="0" collapsed="false">
      <c r="A40" s="41" t="s">
        <v>108</v>
      </c>
      <c r="B40" s="41" t="s">
        <v>152</v>
      </c>
      <c r="C40" s="41" t="s">
        <v>152</v>
      </c>
      <c r="D40" s="41" t="s">
        <v>62</v>
      </c>
      <c r="E40" s="41" t="s">
        <v>88</v>
      </c>
      <c r="F40" s="42" t="n">
        <v>200</v>
      </c>
      <c r="G40" s="43" t="n">
        <v>842237</v>
      </c>
      <c r="H40" s="43" t="n">
        <v>1021800</v>
      </c>
      <c r="I40" s="43" t="n">
        <v>3510</v>
      </c>
      <c r="J40" s="43" t="n">
        <v>389201</v>
      </c>
      <c r="K40" s="43" t="n">
        <v>842237</v>
      </c>
      <c r="L40" s="44" t="n">
        <v>1.21</v>
      </c>
      <c r="M40" s="18" t="n">
        <f aca="false">IFERROR(F40/H40*1000,"")</f>
        <v>0.195733020160501</v>
      </c>
      <c r="N40" s="23" t="n">
        <f aca="false">IFERROR(I40/H40,"")</f>
        <v>0.00343511450381679</v>
      </c>
      <c r="O40" s="18" t="n">
        <f aca="false">IF(I40&gt;0,F40/I40,"")</f>
        <v>0.056980056980057</v>
      </c>
      <c r="P40" s="16" t="n">
        <f aca="false">IFERROR(J40/H40,"")</f>
        <v>0.380897435897436</v>
      </c>
      <c r="Q40" s="21" t="n">
        <f aca="false">IFERROR(F40/J40*1000,"")</f>
        <v>0.513873294261834</v>
      </c>
      <c r="R40" s="21" t="n">
        <f aca="false">IFERROR(F40/G40*1000,"")</f>
        <v>0.237462851905105</v>
      </c>
    </row>
    <row r="41" customFormat="false" ht="15" hidden="false" customHeight="false" outlineLevel="0" collapsed="false">
      <c r="A41" s="41" t="s">
        <v>112</v>
      </c>
      <c r="B41" s="41" t="s">
        <v>142</v>
      </c>
      <c r="C41" s="41" t="s">
        <v>244</v>
      </c>
      <c r="D41" s="41" t="s">
        <v>62</v>
      </c>
      <c r="E41" s="41" t="s">
        <v>91</v>
      </c>
      <c r="F41" s="42" t="n">
        <v>169.06</v>
      </c>
      <c r="G41" s="43" t="n">
        <v>739208</v>
      </c>
      <c r="H41" s="43" t="n">
        <v>1157528</v>
      </c>
      <c r="I41" s="43" t="n">
        <v>1342</v>
      </c>
      <c r="J41" s="43" t="n">
        <v>104913</v>
      </c>
      <c r="K41" s="43" t="n">
        <v>739208</v>
      </c>
      <c r="L41" s="44" t="n">
        <v>1.57</v>
      </c>
      <c r="M41" s="18" t="n">
        <f aca="false">IFERROR(F41/H41*1000,"")</f>
        <v>0.146052622485158</v>
      </c>
      <c r="N41" s="23" t="n">
        <f aca="false">IFERROR(I41/H41,"")</f>
        <v>0.00115936720321236</v>
      </c>
      <c r="O41" s="18" t="n">
        <f aca="false">IF(I41&gt;0,F41/I41,"")</f>
        <v>0.125976154992548</v>
      </c>
      <c r="P41" s="16" t="n">
        <f aca="false">IFERROR(J41/H41,"")</f>
        <v>0.0906353885175996</v>
      </c>
      <c r="Q41" s="21" t="n">
        <f aca="false">IFERROR(F41/J41*1000,"")</f>
        <v>1.61143042330312</v>
      </c>
      <c r="R41" s="21" t="n">
        <f aca="false">IFERROR(F41/G41*1000,"")</f>
        <v>0.228704234802654</v>
      </c>
    </row>
    <row r="42" customFormat="false" ht="15" hidden="false" customHeight="false" outlineLevel="0" collapsed="false">
      <c r="A42" s="41" t="s">
        <v>112</v>
      </c>
      <c r="B42" s="41" t="s">
        <v>142</v>
      </c>
      <c r="C42" s="41" t="s">
        <v>245</v>
      </c>
      <c r="D42" s="41" t="s">
        <v>62</v>
      </c>
      <c r="E42" s="41" t="s">
        <v>91</v>
      </c>
      <c r="F42" s="42" t="n">
        <v>168.39</v>
      </c>
      <c r="G42" s="43" t="n">
        <v>700650</v>
      </c>
      <c r="H42" s="43" t="n">
        <v>980483</v>
      </c>
      <c r="I42" s="43" t="n">
        <v>0</v>
      </c>
      <c r="J42" s="43" t="n">
        <v>141936</v>
      </c>
      <c r="K42" s="43" t="n">
        <v>700650</v>
      </c>
      <c r="L42" s="44" t="n">
        <v>1.4</v>
      </c>
      <c r="M42" s="18" t="n">
        <f aca="false">IFERROR(F42/H42*1000,"")</f>
        <v>0.171741886396806</v>
      </c>
      <c r="N42" s="23" t="n">
        <f aca="false">IFERROR(I42/H42,"")</f>
        <v>0</v>
      </c>
      <c r="O42" s="18" t="str">
        <f aca="false">IF(I42&gt;0,F42/I42,"")</f>
        <v/>
      </c>
      <c r="P42" s="16" t="n">
        <f aca="false">IFERROR(J42/H42,"")</f>
        <v>0.144761306417347</v>
      </c>
      <c r="Q42" s="21" t="n">
        <f aca="false">IFERROR(F42/J42*1000,"")</f>
        <v>1.18637977680081</v>
      </c>
      <c r="R42" s="21" t="n">
        <f aca="false">IFERROR(F42/G42*1000,"")</f>
        <v>0.240333975594091</v>
      </c>
    </row>
    <row r="43" customFormat="false" ht="15" hidden="false" customHeight="false" outlineLevel="0" collapsed="false">
      <c r="A43" s="41" t="s">
        <v>114</v>
      </c>
      <c r="B43" s="41" t="s">
        <v>141</v>
      </c>
      <c r="C43" s="41" t="s">
        <v>246</v>
      </c>
      <c r="D43" s="41" t="s">
        <v>62</v>
      </c>
      <c r="E43" s="41" t="s">
        <v>221</v>
      </c>
      <c r="F43" s="42" t="n">
        <v>157.12</v>
      </c>
      <c r="G43" s="43" t="n">
        <v>697870</v>
      </c>
      <c r="H43" s="43" t="n">
        <v>791587</v>
      </c>
      <c r="I43" s="43" t="n">
        <v>0</v>
      </c>
      <c r="J43" s="43" t="n">
        <v>82653</v>
      </c>
      <c r="K43" s="43" t="n">
        <v>697870</v>
      </c>
      <c r="L43" s="44" t="n">
        <v>1.13</v>
      </c>
      <c r="M43" s="18" t="n">
        <f aca="false">IFERROR(F43/H43*1000,"")</f>
        <v>0.198487342515731</v>
      </c>
      <c r="N43" s="23" t="n">
        <f aca="false">IFERROR(I43/H43,"")</f>
        <v>0</v>
      </c>
      <c r="O43" s="18" t="str">
        <f aca="false">IF(I43&gt;0,F43/I43,"")</f>
        <v/>
      </c>
      <c r="P43" s="16" t="n">
        <f aca="false">IFERROR(J43/H43,"")</f>
        <v>0.104414296849241</v>
      </c>
      <c r="Q43" s="21" t="n">
        <f aca="false">IFERROR(F43/J43*1000,"")</f>
        <v>1.90095943280946</v>
      </c>
      <c r="R43" s="21" t="n">
        <f aca="false">IFERROR(F43/G43*1000,"")</f>
        <v>0.225142218464757</v>
      </c>
    </row>
    <row r="44" customFormat="false" ht="15" hidden="false" customHeight="false" outlineLevel="0" collapsed="false">
      <c r="A44" s="41" t="s">
        <v>112</v>
      </c>
      <c r="B44" s="41" t="s">
        <v>142</v>
      </c>
      <c r="C44" s="41" t="s">
        <v>247</v>
      </c>
      <c r="D44" s="41" t="s">
        <v>62</v>
      </c>
      <c r="E44" s="41" t="s">
        <v>91</v>
      </c>
      <c r="F44" s="42" t="n">
        <v>156.14</v>
      </c>
      <c r="G44" s="43" t="n">
        <v>783714</v>
      </c>
      <c r="H44" s="43" t="n">
        <v>931500</v>
      </c>
      <c r="I44" s="43" t="n">
        <v>1418</v>
      </c>
      <c r="J44" s="43" t="n">
        <v>108181</v>
      </c>
      <c r="K44" s="43" t="n">
        <v>783714</v>
      </c>
      <c r="L44" s="44" t="n">
        <v>1.19</v>
      </c>
      <c r="M44" s="18" t="n">
        <f aca="false">IFERROR(F44/H44*1000,"")</f>
        <v>0.167622114868492</v>
      </c>
      <c r="N44" s="23" t="n">
        <f aca="false">IFERROR(I44/H44,"")</f>
        <v>0.00152227589908749</v>
      </c>
      <c r="O44" s="18" t="n">
        <f aca="false">IF(I44&gt;0,F44/I44,"")</f>
        <v>0.110112834978843</v>
      </c>
      <c r="P44" s="16" t="n">
        <f aca="false">IFERROR(J44/H44,"")</f>
        <v>0.116136339237789</v>
      </c>
      <c r="Q44" s="21" t="n">
        <f aca="false">IFERROR(F44/J44*1000,"")</f>
        <v>1.44332184024921</v>
      </c>
      <c r="R44" s="21" t="n">
        <f aca="false">IFERROR(F44/G44*1000,"")</f>
        <v>0.199230841863231</v>
      </c>
    </row>
    <row r="45" customFormat="false" ht="15" hidden="false" customHeight="false" outlineLevel="0" collapsed="false">
      <c r="A45" s="41" t="s">
        <v>124</v>
      </c>
      <c r="B45" s="41" t="s">
        <v>153</v>
      </c>
      <c r="C45" s="41" t="s">
        <v>241</v>
      </c>
      <c r="D45" s="41" t="s">
        <v>66</v>
      </c>
      <c r="E45" s="41" t="s">
        <v>164</v>
      </c>
      <c r="F45" s="42" t="n">
        <v>144.17</v>
      </c>
      <c r="G45" s="43" t="n">
        <v>108013</v>
      </c>
      <c r="H45" s="43" t="n">
        <v>233129</v>
      </c>
      <c r="I45" s="43" t="n">
        <v>0</v>
      </c>
      <c r="J45" s="43" t="n">
        <v>88582</v>
      </c>
      <c r="K45" s="43" t="n">
        <v>859</v>
      </c>
      <c r="L45" s="44" t="n">
        <v>2.16</v>
      </c>
      <c r="M45" s="18" t="n">
        <f aca="false">IFERROR(F45/H45*1000,"")</f>
        <v>0.618412981653934</v>
      </c>
      <c r="N45" s="23" t="n">
        <f aca="false">IFERROR(I45/H45,"")</f>
        <v>0</v>
      </c>
      <c r="O45" s="18" t="str">
        <f aca="false">IF(I45&gt;0,F45/I45,"")</f>
        <v/>
      </c>
      <c r="P45" s="16" t="n">
        <f aca="false">IFERROR(J45/H45,"")</f>
        <v>0.379969887916132</v>
      </c>
      <c r="Q45" s="21" t="n">
        <f aca="false">IFERROR(F45/J45*1000,"")</f>
        <v>1.62753155268565</v>
      </c>
      <c r="R45" s="21" t="n">
        <f aca="false">IFERROR(F45/G45*1000,"")</f>
        <v>1.33474674344755</v>
      </c>
    </row>
    <row r="46" customFormat="false" ht="15" hidden="false" customHeight="false" outlineLevel="0" collapsed="false">
      <c r="A46" s="41" t="s">
        <v>112</v>
      </c>
      <c r="B46" s="41" t="s">
        <v>149</v>
      </c>
      <c r="C46" s="41" t="s">
        <v>248</v>
      </c>
      <c r="D46" s="41" t="s">
        <v>62</v>
      </c>
      <c r="E46" s="41" t="s">
        <v>91</v>
      </c>
      <c r="F46" s="42" t="n">
        <v>113.28</v>
      </c>
      <c r="G46" s="43" t="n">
        <v>397793</v>
      </c>
      <c r="H46" s="43" t="n">
        <v>617187</v>
      </c>
      <c r="I46" s="43" t="n">
        <v>1843</v>
      </c>
      <c r="J46" s="43" t="n">
        <v>101313</v>
      </c>
      <c r="K46" s="43" t="n">
        <v>397793</v>
      </c>
      <c r="L46" s="44" t="n">
        <v>1.55</v>
      </c>
      <c r="M46" s="18" t="n">
        <f aca="false">IFERROR(F46/H46*1000,"")</f>
        <v>0.183542427173612</v>
      </c>
      <c r="N46" s="23" t="n">
        <f aca="false">IFERROR(I46/H46,"")</f>
        <v>0.00298612900142096</v>
      </c>
      <c r="O46" s="18" t="n">
        <f aca="false">IF(I46&gt;0,F46/I46,"")</f>
        <v>0.061465002712968</v>
      </c>
      <c r="P46" s="16" t="n">
        <f aca="false">IFERROR(J46/H46,"")</f>
        <v>0.16415284184534</v>
      </c>
      <c r="Q46" s="21" t="n">
        <f aca="false">IFERROR(F46/J46*1000,"")</f>
        <v>1.11811909626603</v>
      </c>
      <c r="R46" s="21" t="n">
        <f aca="false">IFERROR(F46/G46*1000,"")</f>
        <v>0.284771225235235</v>
      </c>
    </row>
    <row r="47" customFormat="false" ht="15" hidden="false" customHeight="false" outlineLevel="0" collapsed="false">
      <c r="A47" s="41" t="s">
        <v>114</v>
      </c>
      <c r="B47" s="41" t="s">
        <v>141</v>
      </c>
      <c r="C47" s="41" t="s">
        <v>249</v>
      </c>
      <c r="D47" s="41" t="s">
        <v>62</v>
      </c>
      <c r="E47" s="41" t="s">
        <v>221</v>
      </c>
      <c r="F47" s="42" t="n">
        <v>112.98</v>
      </c>
      <c r="G47" s="43" t="n">
        <v>605610</v>
      </c>
      <c r="H47" s="43" t="n">
        <v>805988</v>
      </c>
      <c r="I47" s="43" t="n">
        <v>1967</v>
      </c>
      <c r="J47" s="43" t="n">
        <v>110995</v>
      </c>
      <c r="K47" s="43" t="n">
        <v>605610</v>
      </c>
      <c r="L47" s="44" t="n">
        <v>1.33</v>
      </c>
      <c r="M47" s="18" t="n">
        <f aca="false">IFERROR(F47/H47*1000,"")</f>
        <v>0.140175784254852</v>
      </c>
      <c r="N47" s="23" t="n">
        <f aca="false">IFERROR(I47/H47,"")</f>
        <v>0.00244048298485834</v>
      </c>
      <c r="O47" s="18" t="n">
        <f aca="false">IF(I47&gt;0,F47/I47,"")</f>
        <v>0.0574377224199288</v>
      </c>
      <c r="P47" s="16" t="n">
        <f aca="false">IFERROR(J47/H47,"")</f>
        <v>0.137712968431292</v>
      </c>
      <c r="Q47" s="21" t="n">
        <f aca="false">IFERROR(F47/J47*1000,"")</f>
        <v>1.01788368845443</v>
      </c>
      <c r="R47" s="21" t="n">
        <f aca="false">IFERROR(F47/G47*1000,"")</f>
        <v>0.186555704166047</v>
      </c>
    </row>
    <row r="48" customFormat="false" ht="15" hidden="false" customHeight="false" outlineLevel="0" collapsed="false">
      <c r="A48" s="41" t="s">
        <v>112</v>
      </c>
      <c r="B48" s="41" t="s">
        <v>142</v>
      </c>
      <c r="C48" s="41" t="s">
        <v>248</v>
      </c>
      <c r="D48" s="41" t="s">
        <v>62</v>
      </c>
      <c r="E48" s="41" t="s">
        <v>91</v>
      </c>
      <c r="F48" s="42" t="n">
        <v>103.37</v>
      </c>
      <c r="G48" s="43" t="n">
        <v>641373</v>
      </c>
      <c r="H48" s="43" t="n">
        <v>714287</v>
      </c>
      <c r="I48" s="43" t="n">
        <v>1589</v>
      </c>
      <c r="J48" s="43" t="n">
        <v>129338</v>
      </c>
      <c r="K48" s="43" t="n">
        <v>641373</v>
      </c>
      <c r="L48" s="44" t="n">
        <v>1.11</v>
      </c>
      <c r="M48" s="18" t="n">
        <f aca="false">IFERROR(F48/H48*1000,"")</f>
        <v>0.144717739508069</v>
      </c>
      <c r="N48" s="23" t="n">
        <f aca="false">IFERROR(I48/H48,"")</f>
        <v>0.00222459599572721</v>
      </c>
      <c r="O48" s="18" t="n">
        <f aca="false">IF(I48&gt;0,F48/I48,"")</f>
        <v>0.0650534927627439</v>
      </c>
      <c r="P48" s="16" t="n">
        <f aca="false">IFERROR(J48/H48,"")</f>
        <v>0.181072874068827</v>
      </c>
      <c r="Q48" s="21" t="n">
        <f aca="false">IFERROR(F48/J48*1000,"")</f>
        <v>0.799223739349611</v>
      </c>
      <c r="R48" s="21" t="n">
        <f aca="false">IFERROR(F48/G48*1000,"")</f>
        <v>0.161169865273406</v>
      </c>
    </row>
    <row r="49" customFormat="false" ht="15" hidden="false" customHeight="false" outlineLevel="0" collapsed="false">
      <c r="A49" s="41" t="s">
        <v>112</v>
      </c>
      <c r="B49" s="41" t="s">
        <v>149</v>
      </c>
      <c r="C49" s="41" t="s">
        <v>247</v>
      </c>
      <c r="D49" s="41" t="s">
        <v>62</v>
      </c>
      <c r="E49" s="41" t="s">
        <v>91</v>
      </c>
      <c r="F49" s="42" t="n">
        <v>95.66</v>
      </c>
      <c r="G49" s="43" t="n">
        <v>451161</v>
      </c>
      <c r="H49" s="43" t="n">
        <v>486998</v>
      </c>
      <c r="I49" s="43" t="n">
        <v>1175</v>
      </c>
      <c r="J49" s="43" t="n">
        <v>50211</v>
      </c>
      <c r="K49" s="43" t="n">
        <v>451161</v>
      </c>
      <c r="L49" s="44" t="n">
        <v>1.08</v>
      </c>
      <c r="M49" s="18" t="n">
        <f aca="false">IFERROR(F49/H49*1000,"")</f>
        <v>0.19642791140826</v>
      </c>
      <c r="N49" s="23" t="n">
        <f aca="false">IFERROR(I49/H49,"")</f>
        <v>0.00241274091474708</v>
      </c>
      <c r="O49" s="18" t="n">
        <f aca="false">IF(I49&gt;0,F49/I49,"")</f>
        <v>0.0814127659574468</v>
      </c>
      <c r="P49" s="16" t="n">
        <f aca="false">IFERROR(J49/H49,"")</f>
        <v>0.103103092825843</v>
      </c>
      <c r="Q49" s="21" t="n">
        <f aca="false">IFERROR(F49/J49*1000,"")</f>
        <v>1.90516022385533</v>
      </c>
      <c r="R49" s="21" t="n">
        <f aca="false">IFERROR(F49/G49*1000,"")</f>
        <v>0.212030738472519</v>
      </c>
    </row>
    <row r="50" customFormat="false" ht="15" hidden="false" customHeight="false" outlineLevel="0" collapsed="false">
      <c r="A50" s="41" t="s">
        <v>124</v>
      </c>
      <c r="B50" s="41" t="s">
        <v>153</v>
      </c>
      <c r="C50" s="41" t="s">
        <v>250</v>
      </c>
      <c r="D50" s="41" t="s">
        <v>66</v>
      </c>
      <c r="E50" s="41" t="s">
        <v>88</v>
      </c>
      <c r="F50" s="42" t="n">
        <v>23.3</v>
      </c>
      <c r="G50" s="43" t="n">
        <v>22981</v>
      </c>
      <c r="H50" s="43" t="n">
        <v>31464</v>
      </c>
      <c r="I50" s="43" t="n">
        <v>0</v>
      </c>
      <c r="J50" s="43" t="n">
        <v>6654</v>
      </c>
      <c r="K50" s="43" t="n">
        <v>149</v>
      </c>
      <c r="L50" s="44" t="n">
        <v>1.37</v>
      </c>
      <c r="M50" s="18" t="n">
        <f aca="false">IFERROR(F50/H50*1000,"")</f>
        <v>0.740528858377829</v>
      </c>
      <c r="N50" s="23" t="n">
        <f aca="false">IFERROR(I50/H50,"")</f>
        <v>0</v>
      </c>
      <c r="O50" s="18" t="str">
        <f aca="false">IF(I50&gt;0,F50/I50,"")</f>
        <v/>
      </c>
      <c r="P50" s="16" t="n">
        <f aca="false">IFERROR(J50/H50,"")</f>
        <v>0.211479786422578</v>
      </c>
      <c r="Q50" s="21" t="n">
        <f aca="false">IFERROR(F50/J50*1000,"")</f>
        <v>3.50165314096784</v>
      </c>
      <c r="R50" s="21" t="n">
        <f aca="false">IFERROR(F50/G50*1000,"")</f>
        <v>1.013881032157</v>
      </c>
    </row>
    <row r="51" customFormat="false" ht="15" hidden="false" customHeight="false" outlineLevel="0" collapsed="false">
      <c r="A51" s="41" t="s">
        <v>125</v>
      </c>
      <c r="B51" s="41" t="s">
        <v>154</v>
      </c>
      <c r="C51" s="41" t="s">
        <v>251</v>
      </c>
      <c r="D51" s="41" t="s">
        <v>68</v>
      </c>
      <c r="E51" s="41" t="s">
        <v>92</v>
      </c>
      <c r="F51" s="42" t="n">
        <v>5.15</v>
      </c>
      <c r="G51" s="43" t="n">
        <v>19516</v>
      </c>
      <c r="H51" s="43" t="n">
        <v>20706</v>
      </c>
      <c r="I51" s="43" t="n">
        <v>116</v>
      </c>
      <c r="J51" s="43" t="n">
        <v>7591</v>
      </c>
      <c r="K51" s="43" t="n">
        <v>1</v>
      </c>
      <c r="L51" s="44" t="n">
        <v>1.06</v>
      </c>
      <c r="M51" s="18" t="n">
        <f aca="false">IFERROR(F51/H51*1000,"")</f>
        <v>0.248720177726263</v>
      </c>
      <c r="N51" s="23" t="n">
        <f aca="false">IFERROR(I51/H51,"")</f>
        <v>0.00560224089635854</v>
      </c>
      <c r="O51" s="18" t="n">
        <f aca="false">IF(I51&gt;0,F51/I51,"")</f>
        <v>0.0443965517241379</v>
      </c>
      <c r="P51" s="16" t="n">
        <f aca="false">IFERROR(J51/H51,"")</f>
        <v>0.366608712450497</v>
      </c>
      <c r="Q51" s="21" t="n">
        <f aca="false">IFERROR(F51/J51*1000,"")</f>
        <v>0.678434988802529</v>
      </c>
      <c r="R51" s="21" t="n">
        <f aca="false">IFERROR(F51/G51*1000,"")</f>
        <v>0.263886042221767</v>
      </c>
    </row>
    <row r="52" customFormat="false" ht="15" hidden="false" customHeight="false" outlineLevel="0" collapsed="false">
      <c r="A52" s="41" t="s">
        <v>126</v>
      </c>
      <c r="B52" s="41" t="s">
        <v>155</v>
      </c>
      <c r="C52" s="41" t="s">
        <v>252</v>
      </c>
      <c r="D52" s="41" t="s">
        <v>68</v>
      </c>
      <c r="E52" s="41" t="s">
        <v>92</v>
      </c>
      <c r="F52" s="42" t="n">
        <v>0.02</v>
      </c>
      <c r="G52" s="43" t="n">
        <v>24</v>
      </c>
      <c r="H52" s="43" t="n">
        <v>29</v>
      </c>
      <c r="I52" s="43" t="n">
        <v>0</v>
      </c>
      <c r="J52" s="43" t="n">
        <v>4</v>
      </c>
      <c r="K52" s="43" t="n">
        <v>0</v>
      </c>
      <c r="L52" s="44" t="n">
        <v>1.21</v>
      </c>
      <c r="M52" s="18" t="n">
        <f aca="false">IFERROR(F52/H52*1000,"")</f>
        <v>0.689655172413793</v>
      </c>
      <c r="N52" s="23" t="n">
        <f aca="false">IFERROR(I52/H52,"")</f>
        <v>0</v>
      </c>
      <c r="O52" s="18" t="str">
        <f aca="false">IF(I52&gt;0,F52/I52,"")</f>
        <v/>
      </c>
      <c r="P52" s="16" t="n">
        <f aca="false">IFERROR(J52/H52,"")</f>
        <v>0.137931034482759</v>
      </c>
      <c r="Q52" s="21" t="n">
        <f aca="false">IFERROR(F52/J52*1000,"")</f>
        <v>5</v>
      </c>
      <c r="R52" s="21" t="n">
        <f aca="false">IFERROR(F52/G52*1000,"")</f>
        <v>0.833333333333333</v>
      </c>
    </row>
  </sheetData>
  <autoFilter ref="A1:R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20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253</v>
      </c>
    </row>
    <row r="2" customFormat="false" ht="15" hidden="false" customHeight="false" outlineLevel="0" collapsed="false">
      <c r="A2" s="2" t="s">
        <v>254</v>
      </c>
    </row>
    <row r="4" customFormat="false" ht="31.5" hidden="false" customHeight="true" outlineLevel="0" collapsed="false">
      <c r="A4" s="5" t="s">
        <v>255</v>
      </c>
      <c r="B4" s="5" t="s">
        <v>54</v>
      </c>
      <c r="C4" s="5" t="s">
        <v>256</v>
      </c>
      <c r="D4" s="5" t="s">
        <v>257</v>
      </c>
      <c r="E4" s="5" t="s">
        <v>258</v>
      </c>
    </row>
    <row r="5" customFormat="false" ht="15" hidden="false" customHeight="false" outlineLevel="0" collapsed="false">
      <c r="A5" s="13" t="s">
        <v>55</v>
      </c>
      <c r="B5" s="13" t="s">
        <v>63</v>
      </c>
      <c r="C5" s="42" t="n">
        <v>27255.89</v>
      </c>
      <c r="D5" s="22" t="n">
        <f aca="false">SUM('Data BEFORE'!$F$2:$F$48)</f>
        <v>27255.89</v>
      </c>
      <c r="E5" s="21" t="n">
        <f aca="false">ROUND(C5-D5,2)</f>
        <v>0</v>
      </c>
    </row>
    <row r="6" customFormat="false" ht="15" hidden="false" customHeight="false" outlineLevel="0" collapsed="false">
      <c r="A6" s="13" t="s">
        <v>35</v>
      </c>
      <c r="B6" s="13" t="s">
        <v>63</v>
      </c>
      <c r="C6" s="43" t="n">
        <v>105356739</v>
      </c>
      <c r="D6" s="14" t="n">
        <f aca="false">SUM('Data BEFORE'!$H$2:$H$48)</f>
        <v>105356739</v>
      </c>
      <c r="E6" s="15" t="n">
        <f aca="false">ROUND(C6-D6,2)</f>
        <v>0</v>
      </c>
    </row>
    <row r="7" customFormat="false" ht="15" hidden="false" customHeight="false" outlineLevel="0" collapsed="false">
      <c r="A7" s="13" t="s">
        <v>58</v>
      </c>
      <c r="B7" s="13" t="s">
        <v>63</v>
      </c>
      <c r="C7" s="43" t="n">
        <v>246549</v>
      </c>
      <c r="D7" s="14" t="n">
        <f aca="false">SUM('Data BEFORE'!$I$2:$I$48)</f>
        <v>246549</v>
      </c>
      <c r="E7" s="15" t="n">
        <f aca="false">ROUND(C7-D7,2)</f>
        <v>0</v>
      </c>
    </row>
    <row r="8" customFormat="false" ht="15" hidden="false" customHeight="false" outlineLevel="0" collapsed="false">
      <c r="A8" s="13" t="s">
        <v>43</v>
      </c>
      <c r="B8" s="13" t="s">
        <v>63</v>
      </c>
      <c r="C8" s="43" t="n">
        <v>24143461</v>
      </c>
      <c r="D8" s="14" t="n">
        <f aca="false">SUM('Data BEFORE'!$J$2:$J$48)</f>
        <v>24143461</v>
      </c>
      <c r="E8" s="15" t="n">
        <f aca="false">ROUND(C8-D8,2)</f>
        <v>0</v>
      </c>
    </row>
    <row r="9" customFormat="false" ht="15" hidden="false" customHeight="false" outlineLevel="0" collapsed="false">
      <c r="A9" s="13" t="s">
        <v>55</v>
      </c>
      <c r="B9" s="13" t="s">
        <v>64</v>
      </c>
      <c r="C9" s="42" t="n">
        <v>24566.02</v>
      </c>
      <c r="D9" s="22" t="n">
        <f aca="false">SUM('Data AFTER'!$F$2:$F$52)</f>
        <v>24566.02</v>
      </c>
      <c r="E9" s="21" t="n">
        <f aca="false">ROUND(C9-D9,2)</f>
        <v>0</v>
      </c>
    </row>
    <row r="10" customFormat="false" ht="15" hidden="false" customHeight="false" outlineLevel="0" collapsed="false">
      <c r="A10" s="13" t="s">
        <v>35</v>
      </c>
      <c r="B10" s="13" t="s">
        <v>64</v>
      </c>
      <c r="C10" s="43" t="n">
        <v>93440992</v>
      </c>
      <c r="D10" s="14" t="n">
        <f aca="false">SUM('Data AFTER'!$H$2:$H$52)</f>
        <v>93440992</v>
      </c>
      <c r="E10" s="15" t="n">
        <f aca="false">ROUND(C10-D10,2)</f>
        <v>0</v>
      </c>
    </row>
    <row r="11" customFormat="false" ht="15" hidden="false" customHeight="false" outlineLevel="0" collapsed="false">
      <c r="A11" s="13" t="s">
        <v>58</v>
      </c>
      <c r="B11" s="13" t="s">
        <v>64</v>
      </c>
      <c r="C11" s="43" t="n">
        <v>204396</v>
      </c>
      <c r="D11" s="14" t="n">
        <f aca="false">SUM('Data AFTER'!$I$2:$I$52)</f>
        <v>204396</v>
      </c>
      <c r="E11" s="15" t="n">
        <f aca="false">ROUND(C11-D11,2)</f>
        <v>0</v>
      </c>
    </row>
    <row r="12" customFormat="false" ht="15" hidden="false" customHeight="false" outlineLevel="0" collapsed="false">
      <c r="A12" s="13" t="s">
        <v>43</v>
      </c>
      <c r="B12" s="13" t="s">
        <v>64</v>
      </c>
      <c r="C12" s="43" t="n">
        <v>16912347</v>
      </c>
      <c r="D12" s="14" t="n">
        <f aca="false">SUM('Data AFTER'!$J$2:$J$52)</f>
        <v>16912347</v>
      </c>
      <c r="E12" s="15" t="n">
        <f aca="false">ROUND(C12-D12,2)</f>
        <v>0</v>
      </c>
    </row>
    <row r="14" customFormat="false" ht="15" hidden="false" customHeight="false" outlineLevel="0" collapsed="false">
      <c r="A14" s="2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" t="s">
        <v>261</v>
      </c>
    </row>
    <row r="4" customFormat="false" ht="31.5" hidden="false" customHeight="true" outlineLevel="0" collapsed="false">
      <c r="A4" s="5" t="s">
        <v>54</v>
      </c>
      <c r="B4" s="5" t="s">
        <v>96</v>
      </c>
      <c r="C4" s="5" t="s">
        <v>129</v>
      </c>
      <c r="D4" s="5" t="s">
        <v>156</v>
      </c>
    </row>
    <row r="5" customFormat="false" ht="15" hidden="false" customHeight="false" outlineLevel="0" collapsed="false">
      <c r="A5" s="13" t="s">
        <v>63</v>
      </c>
      <c r="B5" s="41" t="s">
        <v>262</v>
      </c>
      <c r="C5" s="41" t="s">
        <v>263</v>
      </c>
      <c r="D5" s="41" t="s">
        <v>263</v>
      </c>
    </row>
    <row r="6" customFormat="false" ht="15" hidden="false" customHeight="false" outlineLevel="0" collapsed="false">
      <c r="A6" s="13" t="s">
        <v>63</v>
      </c>
      <c r="B6" s="41" t="s">
        <v>264</v>
      </c>
      <c r="C6" s="41" t="s">
        <v>265</v>
      </c>
      <c r="D6" s="41" t="s">
        <v>266</v>
      </c>
    </row>
    <row r="7" customFormat="false" ht="15" hidden="false" customHeight="false" outlineLevel="0" collapsed="false">
      <c r="A7" s="13" t="s">
        <v>63</v>
      </c>
      <c r="B7" s="41" t="s">
        <v>267</v>
      </c>
      <c r="C7" s="41" t="s">
        <v>268</v>
      </c>
      <c r="D7" s="41" t="s">
        <v>269</v>
      </c>
    </row>
    <row r="8" customFormat="false" ht="15" hidden="false" customHeight="false" outlineLevel="0" collapsed="false">
      <c r="A8" s="13" t="s">
        <v>63</v>
      </c>
      <c r="B8" s="41" t="s">
        <v>264</v>
      </c>
      <c r="C8" s="41" t="s">
        <v>265</v>
      </c>
      <c r="D8" s="41" t="s">
        <v>270</v>
      </c>
    </row>
    <row r="9" customFormat="false" ht="15" hidden="false" customHeight="false" outlineLevel="0" collapsed="false">
      <c r="A9" s="13" t="s">
        <v>63</v>
      </c>
      <c r="B9" s="41" t="s">
        <v>271</v>
      </c>
      <c r="C9" s="41" t="s">
        <v>272</v>
      </c>
      <c r="D9" s="41" t="s">
        <v>272</v>
      </c>
    </row>
    <row r="10" customFormat="false" ht="15" hidden="false" customHeight="false" outlineLevel="0" collapsed="false">
      <c r="A10" s="13" t="s">
        <v>63</v>
      </c>
      <c r="B10" s="41" t="s">
        <v>273</v>
      </c>
      <c r="C10" s="41" t="s">
        <v>274</v>
      </c>
      <c r="D10" s="41" t="s">
        <v>274</v>
      </c>
    </row>
    <row r="11" customFormat="false" ht="15" hidden="false" customHeight="false" outlineLevel="0" collapsed="false">
      <c r="A11" s="13" t="s">
        <v>63</v>
      </c>
      <c r="B11" s="41" t="s">
        <v>275</v>
      </c>
      <c r="C11" s="41" t="s">
        <v>276</v>
      </c>
      <c r="D11" s="41" t="s">
        <v>277</v>
      </c>
    </row>
    <row r="12" customFormat="false" ht="15" hidden="false" customHeight="false" outlineLevel="0" collapsed="false">
      <c r="A12" s="13" t="s">
        <v>63</v>
      </c>
      <c r="B12" s="41" t="s">
        <v>264</v>
      </c>
      <c r="C12" s="41" t="s">
        <v>265</v>
      </c>
      <c r="D12" s="41" t="s">
        <v>278</v>
      </c>
    </row>
    <row r="13" customFormat="false" ht="15" hidden="false" customHeight="false" outlineLevel="0" collapsed="false">
      <c r="A13" s="13" t="s">
        <v>63</v>
      </c>
      <c r="B13" s="41" t="s">
        <v>267</v>
      </c>
      <c r="C13" s="41" t="s">
        <v>268</v>
      </c>
      <c r="D13" s="41" t="s">
        <v>279</v>
      </c>
    </row>
    <row r="14" customFormat="false" ht="15" hidden="false" customHeight="false" outlineLevel="0" collapsed="false">
      <c r="A14" s="13" t="s">
        <v>63</v>
      </c>
      <c r="B14" s="41" t="s">
        <v>280</v>
      </c>
      <c r="C14" s="41" t="s">
        <v>130</v>
      </c>
      <c r="D14" s="41" t="s">
        <v>281</v>
      </c>
    </row>
    <row r="15" customFormat="false" ht="15" hidden="false" customHeight="false" outlineLevel="0" collapsed="false">
      <c r="A15" s="13" t="s">
        <v>63</v>
      </c>
      <c r="B15" s="41" t="s">
        <v>280</v>
      </c>
      <c r="C15" s="41" t="s">
        <v>130</v>
      </c>
      <c r="D15" s="41" t="s">
        <v>282</v>
      </c>
    </row>
    <row r="16" customFormat="false" ht="15" hidden="false" customHeight="false" outlineLevel="0" collapsed="false">
      <c r="A16" s="13" t="s">
        <v>63</v>
      </c>
      <c r="B16" s="41" t="s">
        <v>283</v>
      </c>
      <c r="C16" s="41" t="s">
        <v>130</v>
      </c>
      <c r="D16" s="41" t="s">
        <v>284</v>
      </c>
    </row>
    <row r="17" customFormat="false" ht="15" hidden="false" customHeight="false" outlineLevel="0" collapsed="false">
      <c r="A17" s="13" t="s">
        <v>63</v>
      </c>
      <c r="B17" s="41" t="s">
        <v>267</v>
      </c>
      <c r="C17" s="41" t="s">
        <v>268</v>
      </c>
      <c r="D17" s="41" t="s">
        <v>285</v>
      </c>
    </row>
    <row r="18" customFormat="false" ht="15" hidden="false" customHeight="false" outlineLevel="0" collapsed="false">
      <c r="A18" s="13" t="s">
        <v>63</v>
      </c>
      <c r="B18" s="41" t="s">
        <v>267</v>
      </c>
      <c r="C18" s="41" t="s">
        <v>268</v>
      </c>
      <c r="D18" s="41" t="s">
        <v>286</v>
      </c>
    </row>
    <row r="19" customFormat="false" ht="15" hidden="false" customHeight="false" outlineLevel="0" collapsed="false">
      <c r="A19" s="13" t="s">
        <v>63</v>
      </c>
      <c r="B19" s="41" t="s">
        <v>267</v>
      </c>
      <c r="C19" s="41" t="s">
        <v>268</v>
      </c>
      <c r="D19" s="41" t="s">
        <v>287</v>
      </c>
    </row>
    <row r="20" customFormat="false" ht="15" hidden="false" customHeight="false" outlineLevel="0" collapsed="false">
      <c r="A20" s="13" t="s">
        <v>63</v>
      </c>
      <c r="B20" s="41" t="s">
        <v>288</v>
      </c>
      <c r="C20" s="41" t="s">
        <v>289</v>
      </c>
      <c r="D20" s="41" t="s">
        <v>289</v>
      </c>
    </row>
    <row r="21" customFormat="false" ht="15" hidden="false" customHeight="false" outlineLevel="0" collapsed="false">
      <c r="A21" s="13" t="s">
        <v>63</v>
      </c>
      <c r="B21" s="41" t="s">
        <v>264</v>
      </c>
      <c r="C21" s="41" t="s">
        <v>265</v>
      </c>
      <c r="D21" s="41" t="s">
        <v>290</v>
      </c>
    </row>
    <row r="22" customFormat="false" ht="15" hidden="false" customHeight="false" outlineLevel="0" collapsed="false">
      <c r="A22" s="13" t="s">
        <v>63</v>
      </c>
      <c r="B22" s="41" t="s">
        <v>280</v>
      </c>
      <c r="C22" s="41" t="s">
        <v>130</v>
      </c>
      <c r="D22" s="41" t="s">
        <v>291</v>
      </c>
    </row>
    <row r="23" customFormat="false" ht="15" hidden="false" customHeight="false" outlineLevel="0" collapsed="false">
      <c r="A23" s="13" t="s">
        <v>63</v>
      </c>
      <c r="B23" s="41" t="s">
        <v>280</v>
      </c>
      <c r="C23" s="41" t="s">
        <v>130</v>
      </c>
      <c r="D23" s="41" t="s">
        <v>292</v>
      </c>
    </row>
    <row r="24" customFormat="false" ht="15" hidden="false" customHeight="false" outlineLevel="0" collapsed="false">
      <c r="A24" s="13" t="s">
        <v>63</v>
      </c>
      <c r="B24" s="41" t="s">
        <v>293</v>
      </c>
      <c r="C24" s="41" t="s">
        <v>294</v>
      </c>
      <c r="D24" s="41" t="s">
        <v>295</v>
      </c>
    </row>
    <row r="25" customFormat="false" ht="15" hidden="false" customHeight="false" outlineLevel="0" collapsed="false">
      <c r="A25" s="13" t="s">
        <v>63</v>
      </c>
      <c r="B25" s="41" t="s">
        <v>296</v>
      </c>
      <c r="C25" s="41" t="s">
        <v>297</v>
      </c>
      <c r="D25" s="41" t="s">
        <v>297</v>
      </c>
    </row>
    <row r="26" customFormat="false" ht="15" hidden="false" customHeight="false" outlineLevel="0" collapsed="false">
      <c r="A26" s="13" t="s">
        <v>63</v>
      </c>
      <c r="B26" s="41" t="s">
        <v>267</v>
      </c>
      <c r="C26" s="41" t="s">
        <v>268</v>
      </c>
      <c r="D26" s="41" t="s">
        <v>298</v>
      </c>
    </row>
    <row r="27" customFormat="false" ht="15" hidden="false" customHeight="false" outlineLevel="0" collapsed="false">
      <c r="A27" s="13" t="s">
        <v>63</v>
      </c>
      <c r="B27" s="41" t="s">
        <v>299</v>
      </c>
      <c r="C27" s="41" t="s">
        <v>300</v>
      </c>
      <c r="D27" s="41" t="s">
        <v>301</v>
      </c>
    </row>
    <row r="28" customFormat="false" ht="15" hidden="false" customHeight="false" outlineLevel="0" collapsed="false">
      <c r="A28" s="13" t="s">
        <v>63</v>
      </c>
      <c r="B28" s="41" t="s">
        <v>267</v>
      </c>
      <c r="C28" s="41" t="s">
        <v>268</v>
      </c>
      <c r="D28" s="41" t="s">
        <v>302</v>
      </c>
    </row>
    <row r="29" customFormat="false" ht="15" hidden="false" customHeight="false" outlineLevel="0" collapsed="false">
      <c r="A29" s="13" t="s">
        <v>63</v>
      </c>
      <c r="B29" s="41" t="s">
        <v>267</v>
      </c>
      <c r="C29" s="41" t="s">
        <v>268</v>
      </c>
      <c r="D29" s="41" t="s">
        <v>303</v>
      </c>
    </row>
    <row r="30" customFormat="false" ht="15" hidden="false" customHeight="false" outlineLevel="0" collapsed="false">
      <c r="A30" s="13" t="s">
        <v>63</v>
      </c>
      <c r="B30" s="41" t="s">
        <v>264</v>
      </c>
      <c r="C30" s="41" t="s">
        <v>265</v>
      </c>
      <c r="D30" s="41" t="s">
        <v>304</v>
      </c>
    </row>
    <row r="31" customFormat="false" ht="15" hidden="false" customHeight="false" outlineLevel="0" collapsed="false">
      <c r="A31" s="13" t="s">
        <v>63</v>
      </c>
      <c r="B31" s="41" t="s">
        <v>280</v>
      </c>
      <c r="C31" s="41" t="s">
        <v>130</v>
      </c>
      <c r="D31" s="41" t="s">
        <v>305</v>
      </c>
    </row>
    <row r="32" customFormat="false" ht="15" hidden="false" customHeight="false" outlineLevel="0" collapsed="false">
      <c r="A32" s="13" t="s">
        <v>63</v>
      </c>
      <c r="B32" s="41" t="s">
        <v>306</v>
      </c>
      <c r="C32" s="41" t="s">
        <v>307</v>
      </c>
      <c r="D32" s="41" t="s">
        <v>307</v>
      </c>
    </row>
    <row r="33" customFormat="false" ht="15" hidden="false" customHeight="false" outlineLevel="0" collapsed="false">
      <c r="A33" s="13" t="s">
        <v>63</v>
      </c>
      <c r="B33" s="41" t="s">
        <v>308</v>
      </c>
      <c r="C33" s="41" t="s">
        <v>309</v>
      </c>
      <c r="D33" s="41" t="s">
        <v>309</v>
      </c>
    </row>
    <row r="34" customFormat="false" ht="15" hidden="false" customHeight="false" outlineLevel="0" collapsed="false">
      <c r="A34" s="13" t="s">
        <v>63</v>
      </c>
      <c r="B34" s="41" t="s">
        <v>310</v>
      </c>
      <c r="C34" s="41" t="s">
        <v>311</v>
      </c>
      <c r="D34" s="41" t="s">
        <v>311</v>
      </c>
    </row>
    <row r="35" customFormat="false" ht="15" hidden="false" customHeight="false" outlineLevel="0" collapsed="false">
      <c r="A35" s="13" t="s">
        <v>63</v>
      </c>
      <c r="B35" s="41" t="s">
        <v>283</v>
      </c>
      <c r="C35" s="41" t="s">
        <v>130</v>
      </c>
      <c r="D35" s="41" t="s">
        <v>312</v>
      </c>
    </row>
    <row r="36" customFormat="false" ht="15" hidden="false" customHeight="false" outlineLevel="0" collapsed="false">
      <c r="A36" s="13" t="s">
        <v>63</v>
      </c>
      <c r="B36" s="41" t="s">
        <v>313</v>
      </c>
      <c r="C36" s="41" t="s">
        <v>314</v>
      </c>
      <c r="D36" s="41" t="s">
        <v>314</v>
      </c>
    </row>
    <row r="37" customFormat="false" ht="15" hidden="false" customHeight="false" outlineLevel="0" collapsed="false">
      <c r="A37" s="13" t="s">
        <v>63</v>
      </c>
      <c r="B37" s="41" t="s">
        <v>315</v>
      </c>
      <c r="C37" s="41" t="s">
        <v>316</v>
      </c>
      <c r="D37" s="41" t="s">
        <v>316</v>
      </c>
    </row>
    <row r="38" customFormat="false" ht="15" hidden="false" customHeight="false" outlineLevel="0" collapsed="false">
      <c r="A38" s="13" t="s">
        <v>63</v>
      </c>
      <c r="B38" s="41" t="s">
        <v>317</v>
      </c>
      <c r="C38" s="41" t="s">
        <v>318</v>
      </c>
      <c r="D38" s="41" t="s">
        <v>319</v>
      </c>
    </row>
    <row r="39" customFormat="false" ht="15" hidden="false" customHeight="false" outlineLevel="0" collapsed="false">
      <c r="A39" s="13" t="s">
        <v>63</v>
      </c>
      <c r="B39" s="41" t="s">
        <v>320</v>
      </c>
      <c r="C39" s="41" t="s">
        <v>321</v>
      </c>
      <c r="D39" s="41" t="s">
        <v>321</v>
      </c>
    </row>
    <row r="40" customFormat="false" ht="15" hidden="false" customHeight="false" outlineLevel="0" collapsed="false">
      <c r="A40" s="13" t="s">
        <v>63</v>
      </c>
      <c r="B40" s="41" t="s">
        <v>280</v>
      </c>
      <c r="C40" s="41" t="s">
        <v>130</v>
      </c>
      <c r="D40" s="41" t="s">
        <v>322</v>
      </c>
    </row>
    <row r="41" customFormat="false" ht="15" hidden="false" customHeight="false" outlineLevel="0" collapsed="false">
      <c r="A41" s="13" t="s">
        <v>63</v>
      </c>
      <c r="B41" s="41" t="s">
        <v>267</v>
      </c>
      <c r="C41" s="41" t="s">
        <v>268</v>
      </c>
      <c r="D41" s="41" t="s">
        <v>323</v>
      </c>
    </row>
    <row r="42" customFormat="false" ht="15" hidden="false" customHeight="false" outlineLevel="0" collapsed="false">
      <c r="A42" s="13" t="s">
        <v>63</v>
      </c>
      <c r="B42" s="41" t="s">
        <v>267</v>
      </c>
      <c r="C42" s="41" t="s">
        <v>268</v>
      </c>
      <c r="D42" s="41" t="s">
        <v>324</v>
      </c>
    </row>
    <row r="43" customFormat="false" ht="15" hidden="false" customHeight="false" outlineLevel="0" collapsed="false">
      <c r="A43" s="13" t="s">
        <v>63</v>
      </c>
      <c r="B43" s="41" t="s">
        <v>267</v>
      </c>
      <c r="C43" s="41" t="s">
        <v>268</v>
      </c>
      <c r="D43" s="41" t="s">
        <v>325</v>
      </c>
    </row>
    <row r="44" customFormat="false" ht="15" hidden="false" customHeight="false" outlineLevel="0" collapsed="false">
      <c r="A44" s="13" t="s">
        <v>63</v>
      </c>
      <c r="B44" s="41" t="s">
        <v>267</v>
      </c>
      <c r="C44" s="41" t="s">
        <v>268</v>
      </c>
      <c r="D44" s="41" t="s">
        <v>326</v>
      </c>
    </row>
    <row r="45" customFormat="false" ht="15" hidden="false" customHeight="false" outlineLevel="0" collapsed="false">
      <c r="A45" s="13" t="s">
        <v>63</v>
      </c>
      <c r="B45" s="41" t="s">
        <v>267</v>
      </c>
      <c r="C45" s="41" t="s">
        <v>268</v>
      </c>
      <c r="D45" s="41" t="s">
        <v>327</v>
      </c>
    </row>
    <row r="46" customFormat="false" ht="15" hidden="false" customHeight="false" outlineLevel="0" collapsed="false">
      <c r="A46" s="13" t="s">
        <v>63</v>
      </c>
      <c r="B46" s="41" t="s">
        <v>328</v>
      </c>
      <c r="C46" s="41" t="s">
        <v>329</v>
      </c>
      <c r="D46" s="41" t="s">
        <v>330</v>
      </c>
    </row>
    <row r="47" customFormat="false" ht="15" hidden="false" customHeight="false" outlineLevel="0" collapsed="false">
      <c r="A47" s="13" t="s">
        <v>63</v>
      </c>
      <c r="B47" s="41" t="s">
        <v>264</v>
      </c>
      <c r="C47" s="41" t="s">
        <v>265</v>
      </c>
      <c r="D47" s="41" t="s">
        <v>331</v>
      </c>
    </row>
    <row r="48" customFormat="false" ht="15" hidden="false" customHeight="false" outlineLevel="0" collapsed="false">
      <c r="A48" s="13" t="s">
        <v>63</v>
      </c>
      <c r="B48" s="41" t="s">
        <v>264</v>
      </c>
      <c r="C48" s="41" t="s">
        <v>265</v>
      </c>
      <c r="D48" s="41" t="s">
        <v>332</v>
      </c>
    </row>
    <row r="49" customFormat="false" ht="15" hidden="false" customHeight="false" outlineLevel="0" collapsed="false">
      <c r="A49" s="13" t="s">
        <v>63</v>
      </c>
      <c r="B49" s="41" t="s">
        <v>264</v>
      </c>
      <c r="C49" s="41" t="s">
        <v>265</v>
      </c>
      <c r="D49" s="41" t="s">
        <v>333</v>
      </c>
    </row>
    <row r="50" customFormat="false" ht="15" hidden="false" customHeight="false" outlineLevel="0" collapsed="false">
      <c r="A50" s="13" t="s">
        <v>63</v>
      </c>
      <c r="B50" s="41" t="s">
        <v>264</v>
      </c>
      <c r="C50" s="41" t="s">
        <v>265</v>
      </c>
      <c r="D50" s="41" t="s">
        <v>334</v>
      </c>
    </row>
    <row r="51" customFormat="false" ht="15" hidden="false" customHeight="false" outlineLevel="0" collapsed="false">
      <c r="A51" s="13" t="s">
        <v>63</v>
      </c>
      <c r="B51" s="41" t="s">
        <v>335</v>
      </c>
      <c r="C51" s="41" t="s">
        <v>336</v>
      </c>
      <c r="D51" s="41" t="s">
        <v>336</v>
      </c>
    </row>
    <row r="52" customFormat="false" ht="15" hidden="false" customHeight="false" outlineLevel="0" collapsed="false">
      <c r="A52" s="13" t="s">
        <v>63</v>
      </c>
      <c r="B52" s="41" t="s">
        <v>337</v>
      </c>
      <c r="C52" s="41" t="s">
        <v>338</v>
      </c>
      <c r="D52" s="41" t="s">
        <v>338</v>
      </c>
    </row>
    <row r="53" customFormat="false" ht="15" hidden="false" customHeight="false" outlineLevel="0" collapsed="false">
      <c r="A53" s="13" t="s">
        <v>63</v>
      </c>
      <c r="B53" s="41" t="s">
        <v>283</v>
      </c>
      <c r="C53" s="41" t="s">
        <v>130</v>
      </c>
      <c r="D53" s="41" t="s">
        <v>339</v>
      </c>
    </row>
    <row r="54" customFormat="false" ht="15" hidden="false" customHeight="false" outlineLevel="0" collapsed="false">
      <c r="A54" s="13" t="s">
        <v>63</v>
      </c>
      <c r="B54" s="41" t="s">
        <v>340</v>
      </c>
      <c r="C54" s="41" t="s">
        <v>341</v>
      </c>
      <c r="D54" s="41" t="s">
        <v>341</v>
      </c>
    </row>
    <row r="55" customFormat="false" ht="15" hidden="false" customHeight="false" outlineLevel="0" collapsed="false">
      <c r="A55" s="13" t="s">
        <v>63</v>
      </c>
      <c r="B55" s="41" t="s">
        <v>342</v>
      </c>
      <c r="C55" s="41" t="s">
        <v>343</v>
      </c>
      <c r="D55" s="41" t="s">
        <v>343</v>
      </c>
    </row>
    <row r="56" customFormat="false" ht="15" hidden="false" customHeight="false" outlineLevel="0" collapsed="false">
      <c r="A56" s="13" t="s">
        <v>63</v>
      </c>
      <c r="B56" s="41" t="s">
        <v>280</v>
      </c>
      <c r="C56" s="41" t="s">
        <v>130</v>
      </c>
      <c r="D56" s="41" t="s">
        <v>344</v>
      </c>
    </row>
    <row r="57" customFormat="false" ht="15" hidden="false" customHeight="false" outlineLevel="0" collapsed="false">
      <c r="A57" s="13" t="s">
        <v>63</v>
      </c>
      <c r="B57" s="41" t="s">
        <v>328</v>
      </c>
      <c r="C57" s="41" t="s">
        <v>329</v>
      </c>
      <c r="D57" s="41" t="s">
        <v>345</v>
      </c>
    </row>
    <row r="58" customFormat="false" ht="15" hidden="false" customHeight="false" outlineLevel="0" collapsed="false">
      <c r="A58" s="13" t="s">
        <v>63</v>
      </c>
      <c r="B58" s="41" t="s">
        <v>264</v>
      </c>
      <c r="C58" s="41" t="s">
        <v>265</v>
      </c>
      <c r="D58" s="41" t="s">
        <v>346</v>
      </c>
    </row>
    <row r="59" customFormat="false" ht="15" hidden="false" customHeight="false" outlineLevel="0" collapsed="false">
      <c r="A59" s="13" t="s">
        <v>64</v>
      </c>
      <c r="B59" s="41" t="s">
        <v>99</v>
      </c>
      <c r="C59" s="41" t="s">
        <v>130</v>
      </c>
      <c r="D59" s="41" t="s">
        <v>202</v>
      </c>
    </row>
    <row r="60" customFormat="false" ht="15" hidden="false" customHeight="false" outlineLevel="0" collapsed="false">
      <c r="A60" s="13" t="s">
        <v>64</v>
      </c>
      <c r="B60" s="41" t="s">
        <v>103</v>
      </c>
      <c r="C60" s="41" t="s">
        <v>132</v>
      </c>
      <c r="D60" s="41" t="s">
        <v>201</v>
      </c>
    </row>
    <row r="61" customFormat="false" ht="15" hidden="false" customHeight="false" outlineLevel="0" collapsed="false">
      <c r="A61" s="13" t="s">
        <v>64</v>
      </c>
      <c r="B61" s="41" t="s">
        <v>264</v>
      </c>
      <c r="C61" s="41" t="s">
        <v>265</v>
      </c>
      <c r="D61" s="41" t="s">
        <v>333</v>
      </c>
    </row>
    <row r="62" customFormat="false" ht="15" hidden="false" customHeight="false" outlineLevel="0" collapsed="false">
      <c r="A62" s="13" t="s">
        <v>64</v>
      </c>
      <c r="B62" s="41" t="s">
        <v>99</v>
      </c>
      <c r="C62" s="41" t="s">
        <v>130</v>
      </c>
      <c r="D62" s="41" t="s">
        <v>176</v>
      </c>
    </row>
    <row r="63" customFormat="false" ht="15" hidden="false" customHeight="false" outlineLevel="0" collapsed="false">
      <c r="A63" s="13" t="s">
        <v>64</v>
      </c>
      <c r="B63" s="41" t="s">
        <v>99</v>
      </c>
      <c r="C63" s="41" t="s">
        <v>130</v>
      </c>
      <c r="D63" s="41" t="s">
        <v>163</v>
      </c>
    </row>
    <row r="64" customFormat="false" ht="15" hidden="false" customHeight="false" outlineLevel="0" collapsed="false">
      <c r="A64" s="13" t="s">
        <v>64</v>
      </c>
      <c r="B64" s="41" t="s">
        <v>99</v>
      </c>
      <c r="C64" s="41" t="s">
        <v>130</v>
      </c>
      <c r="D64" s="41" t="s">
        <v>200</v>
      </c>
    </row>
    <row r="65" customFormat="false" ht="15" hidden="false" customHeight="false" outlineLevel="0" collapsed="false">
      <c r="A65" s="13" t="s">
        <v>64</v>
      </c>
      <c r="B65" s="41" t="s">
        <v>267</v>
      </c>
      <c r="C65" s="41" t="s">
        <v>268</v>
      </c>
      <c r="D65" s="41" t="s">
        <v>323</v>
      </c>
    </row>
    <row r="66" customFormat="false" ht="15" hidden="false" customHeight="false" outlineLevel="0" collapsed="false">
      <c r="A66" s="13" t="s">
        <v>64</v>
      </c>
      <c r="B66" s="41" t="s">
        <v>264</v>
      </c>
      <c r="C66" s="41" t="s">
        <v>265</v>
      </c>
      <c r="D66" s="41" t="s">
        <v>266</v>
      </c>
    </row>
    <row r="67" customFormat="false" ht="15" hidden="false" customHeight="false" outlineLevel="0" collapsed="false">
      <c r="A67" s="13" t="s">
        <v>64</v>
      </c>
      <c r="B67" s="41" t="s">
        <v>99</v>
      </c>
      <c r="C67" s="41" t="s">
        <v>130</v>
      </c>
      <c r="D67" s="41" t="s">
        <v>173</v>
      </c>
    </row>
    <row r="68" customFormat="false" ht="15" hidden="false" customHeight="false" outlineLevel="0" collapsed="false">
      <c r="A68" s="13" t="s">
        <v>64</v>
      </c>
      <c r="B68" s="41" t="s">
        <v>99</v>
      </c>
      <c r="C68" s="41" t="s">
        <v>130</v>
      </c>
      <c r="D68" s="41" t="s">
        <v>199</v>
      </c>
    </row>
    <row r="69" customFormat="false" ht="15" hidden="false" customHeight="false" outlineLevel="0" collapsed="false">
      <c r="A69" s="13" t="s">
        <v>64</v>
      </c>
      <c r="B69" s="41" t="s">
        <v>264</v>
      </c>
      <c r="C69" s="41" t="s">
        <v>265</v>
      </c>
      <c r="D69" s="41" t="s">
        <v>332</v>
      </c>
    </row>
    <row r="70" customFormat="false" ht="15" hidden="false" customHeight="false" outlineLevel="0" collapsed="false">
      <c r="A70" s="13" t="s">
        <v>64</v>
      </c>
      <c r="B70" s="41" t="s">
        <v>267</v>
      </c>
      <c r="C70" s="41" t="s">
        <v>268</v>
      </c>
      <c r="D70" s="41" t="s">
        <v>324</v>
      </c>
    </row>
    <row r="71" customFormat="false" ht="15" hidden="false" customHeight="false" outlineLevel="0" collapsed="false">
      <c r="A71" s="13" t="s">
        <v>64</v>
      </c>
      <c r="B71" s="41" t="s">
        <v>267</v>
      </c>
      <c r="C71" s="41" t="s">
        <v>268</v>
      </c>
      <c r="D71" s="41" t="s">
        <v>325</v>
      </c>
    </row>
    <row r="72" customFormat="false" ht="15" hidden="false" customHeight="false" outlineLevel="0" collapsed="false">
      <c r="A72" s="13" t="s">
        <v>64</v>
      </c>
      <c r="B72" s="41" t="s">
        <v>99</v>
      </c>
      <c r="C72" s="41" t="s">
        <v>130</v>
      </c>
      <c r="D72" s="41" t="s">
        <v>185</v>
      </c>
    </row>
    <row r="73" customFormat="false" ht="15" hidden="false" customHeight="false" outlineLevel="0" collapsed="false">
      <c r="A73" s="13" t="s">
        <v>64</v>
      </c>
      <c r="B73" s="41" t="s">
        <v>99</v>
      </c>
      <c r="C73" s="41" t="s">
        <v>130</v>
      </c>
      <c r="D73" s="41" t="s">
        <v>203</v>
      </c>
    </row>
    <row r="74" customFormat="false" ht="15" hidden="false" customHeight="false" outlineLevel="0" collapsed="false">
      <c r="A74" s="13" t="s">
        <v>64</v>
      </c>
      <c r="B74" s="41" t="s">
        <v>99</v>
      </c>
      <c r="C74" s="41" t="s">
        <v>130</v>
      </c>
      <c r="D74" s="41" t="s">
        <v>190</v>
      </c>
    </row>
    <row r="75" customFormat="false" ht="15" hidden="false" customHeight="false" outlineLevel="0" collapsed="false">
      <c r="A75" s="13" t="s">
        <v>64</v>
      </c>
      <c r="B75" s="41" t="s">
        <v>264</v>
      </c>
      <c r="C75" s="41" t="s">
        <v>265</v>
      </c>
      <c r="D75" s="41" t="s">
        <v>331</v>
      </c>
    </row>
    <row r="76" customFormat="false" ht="15" hidden="false" customHeight="false" outlineLevel="0" collapsed="false">
      <c r="A76" s="13" t="s">
        <v>64</v>
      </c>
      <c r="B76" s="41" t="s">
        <v>99</v>
      </c>
      <c r="C76" s="41" t="s">
        <v>130</v>
      </c>
      <c r="D76" s="41" t="s">
        <v>207</v>
      </c>
    </row>
    <row r="77" customFormat="false" ht="15" hidden="false" customHeight="false" outlineLevel="0" collapsed="false">
      <c r="A77" s="13" t="s">
        <v>64</v>
      </c>
      <c r="B77" s="41" t="s">
        <v>101</v>
      </c>
      <c r="C77" s="41" t="s">
        <v>131</v>
      </c>
      <c r="D77" s="41" t="s">
        <v>177</v>
      </c>
    </row>
    <row r="78" customFormat="false" ht="15" hidden="false" customHeight="false" outlineLevel="0" collapsed="false">
      <c r="A78" s="13" t="s">
        <v>64</v>
      </c>
      <c r="B78" s="41" t="s">
        <v>267</v>
      </c>
      <c r="C78" s="41" t="s">
        <v>268</v>
      </c>
      <c r="D78" s="41" t="s">
        <v>326</v>
      </c>
    </row>
    <row r="79" customFormat="false" ht="15" hidden="false" customHeight="false" outlineLevel="0" collapsed="false">
      <c r="A79" s="13" t="s">
        <v>64</v>
      </c>
      <c r="B79" s="41" t="s">
        <v>267</v>
      </c>
      <c r="C79" s="41" t="s">
        <v>268</v>
      </c>
      <c r="D79" s="41" t="s">
        <v>327</v>
      </c>
    </row>
    <row r="80" customFormat="false" ht="15" hidden="false" customHeight="false" outlineLevel="0" collapsed="false">
      <c r="A80" s="13" t="s">
        <v>64</v>
      </c>
      <c r="B80" s="41" t="s">
        <v>347</v>
      </c>
      <c r="C80" s="41" t="s">
        <v>348</v>
      </c>
      <c r="D80" s="41" t="s">
        <v>348</v>
      </c>
    </row>
    <row r="81" customFormat="false" ht="15" hidden="false" customHeight="false" outlineLevel="0" collapsed="false">
      <c r="A81" s="13" t="s">
        <v>64</v>
      </c>
      <c r="B81" s="41" t="s">
        <v>280</v>
      </c>
      <c r="C81" s="41" t="s">
        <v>130</v>
      </c>
      <c r="D81" s="41" t="s">
        <v>344</v>
      </c>
    </row>
    <row r="82" customFormat="false" ht="15" hidden="false" customHeight="false" outlineLevel="0" collapsed="false">
      <c r="A82" s="13" t="s">
        <v>64</v>
      </c>
      <c r="B82" s="41" t="s">
        <v>283</v>
      </c>
      <c r="C82" s="41" t="s">
        <v>130</v>
      </c>
      <c r="D82" s="41" t="s">
        <v>349</v>
      </c>
    </row>
    <row r="83" customFormat="false" ht="15" hidden="false" customHeight="false" outlineLevel="0" collapsed="false">
      <c r="A83" s="13" t="s">
        <v>64</v>
      </c>
      <c r="B83" s="41" t="s">
        <v>99</v>
      </c>
      <c r="C83" s="41" t="s">
        <v>130</v>
      </c>
      <c r="D83" s="41" t="s">
        <v>206</v>
      </c>
    </row>
    <row r="84" customFormat="false" ht="15" hidden="false" customHeight="false" outlineLevel="0" collapsed="false">
      <c r="A84" s="13" t="s">
        <v>64</v>
      </c>
      <c r="B84" s="41" t="s">
        <v>99</v>
      </c>
      <c r="C84" s="41" t="s">
        <v>130</v>
      </c>
      <c r="D84" s="41" t="s">
        <v>186</v>
      </c>
    </row>
    <row r="85" customFormat="false" ht="15" hidden="false" customHeight="false" outlineLevel="0" collapsed="false">
      <c r="A85" s="13" t="s">
        <v>64</v>
      </c>
      <c r="B85" s="41" t="s">
        <v>99</v>
      </c>
      <c r="C85" s="41" t="s">
        <v>130</v>
      </c>
      <c r="D85" s="41" t="s">
        <v>179</v>
      </c>
    </row>
    <row r="86" customFormat="false" ht="15" hidden="false" customHeight="false" outlineLevel="0" collapsed="false">
      <c r="A86" s="13" t="s">
        <v>64</v>
      </c>
      <c r="B86" s="41" t="s">
        <v>101</v>
      </c>
      <c r="C86" s="41" t="s">
        <v>131</v>
      </c>
      <c r="D86" s="41" t="s">
        <v>172</v>
      </c>
    </row>
    <row r="87" customFormat="false" ht="15" hidden="false" customHeight="false" outlineLevel="0" collapsed="false">
      <c r="A87" s="13" t="s">
        <v>64</v>
      </c>
      <c r="B87" s="41" t="s">
        <v>264</v>
      </c>
      <c r="C87" s="41" t="s">
        <v>265</v>
      </c>
      <c r="D87" s="41" t="s">
        <v>346</v>
      </c>
    </row>
    <row r="88" customFormat="false" ht="15" hidden="false" customHeight="false" outlineLevel="0" collapsed="false">
      <c r="A88" s="13" t="s">
        <v>64</v>
      </c>
      <c r="B88" s="41" t="s">
        <v>101</v>
      </c>
      <c r="C88" s="41" t="s">
        <v>131</v>
      </c>
      <c r="D88" s="41" t="s">
        <v>161</v>
      </c>
    </row>
    <row r="89" customFormat="false" ht="15" hidden="false" customHeight="false" outlineLevel="0" collapsed="false">
      <c r="A89" s="13" t="s">
        <v>64</v>
      </c>
      <c r="B89" s="41" t="s">
        <v>99</v>
      </c>
      <c r="C89" s="41" t="s">
        <v>130</v>
      </c>
      <c r="D89" s="41" t="s">
        <v>195</v>
      </c>
    </row>
    <row r="90" customFormat="false" ht="15" hidden="false" customHeight="false" outlineLevel="0" collapsed="false">
      <c r="A90" s="13" t="s">
        <v>64</v>
      </c>
      <c r="B90" s="41" t="s">
        <v>100</v>
      </c>
      <c r="C90" s="41" t="s">
        <v>131</v>
      </c>
      <c r="D90" s="41" t="s">
        <v>180</v>
      </c>
    </row>
    <row r="91" customFormat="false" ht="15" hidden="false" customHeight="false" outlineLevel="0" collapsed="false">
      <c r="A91" s="13" t="s">
        <v>64</v>
      </c>
      <c r="B91" s="41" t="s">
        <v>100</v>
      </c>
      <c r="C91" s="41" t="s">
        <v>131</v>
      </c>
      <c r="D91" s="41" t="s">
        <v>169</v>
      </c>
    </row>
    <row r="92" customFormat="false" ht="15" hidden="false" customHeight="false" outlineLevel="0" collapsed="false">
      <c r="A92" s="13" t="s">
        <v>64</v>
      </c>
      <c r="B92" s="41" t="s">
        <v>267</v>
      </c>
      <c r="C92" s="41" t="s">
        <v>268</v>
      </c>
      <c r="D92" s="41" t="s">
        <v>285</v>
      </c>
    </row>
    <row r="93" customFormat="false" ht="15" hidden="false" customHeight="false" outlineLevel="0" collapsed="false">
      <c r="A93" s="13" t="s">
        <v>64</v>
      </c>
      <c r="B93" s="41" t="s">
        <v>100</v>
      </c>
      <c r="C93" s="41" t="s">
        <v>131</v>
      </c>
      <c r="D93" s="41" t="s">
        <v>196</v>
      </c>
    </row>
    <row r="94" customFormat="false" ht="15" hidden="false" customHeight="false" outlineLevel="0" collapsed="false">
      <c r="A94" s="13" t="s">
        <v>64</v>
      </c>
      <c r="B94" s="41" t="s">
        <v>267</v>
      </c>
      <c r="C94" s="41" t="s">
        <v>268</v>
      </c>
      <c r="D94" s="41" t="s">
        <v>286</v>
      </c>
    </row>
    <row r="95" customFormat="false" ht="15" hidden="false" customHeight="false" outlineLevel="0" collapsed="false">
      <c r="A95" s="13" t="s">
        <v>64</v>
      </c>
      <c r="B95" s="41" t="s">
        <v>350</v>
      </c>
      <c r="C95" s="41" t="s">
        <v>351</v>
      </c>
      <c r="D95" s="41" t="s">
        <v>351</v>
      </c>
    </row>
    <row r="96" customFormat="false" ht="15" hidden="false" customHeight="false" outlineLevel="0" collapsed="false">
      <c r="A96" s="13" t="s">
        <v>64</v>
      </c>
      <c r="B96" s="41" t="s">
        <v>264</v>
      </c>
      <c r="C96" s="41" t="s">
        <v>265</v>
      </c>
      <c r="D96" s="41" t="s">
        <v>290</v>
      </c>
    </row>
    <row r="97" customFormat="false" ht="15" hidden="false" customHeight="false" outlineLevel="0" collapsed="false">
      <c r="A97" s="13" t="s">
        <v>64</v>
      </c>
      <c r="B97" s="41" t="s">
        <v>280</v>
      </c>
      <c r="C97" s="41" t="s">
        <v>130</v>
      </c>
      <c r="D97" s="41" t="s">
        <v>291</v>
      </c>
    </row>
    <row r="98" customFormat="false" ht="15" hidden="false" customHeight="false" outlineLevel="0" collapsed="false">
      <c r="A98" s="13" t="s">
        <v>64</v>
      </c>
      <c r="B98" s="41" t="s">
        <v>99</v>
      </c>
      <c r="C98" s="41" t="s">
        <v>130</v>
      </c>
      <c r="D98" s="41" t="s">
        <v>183</v>
      </c>
    </row>
    <row r="99" customFormat="false" ht="15" hidden="false" customHeight="false" outlineLevel="0" collapsed="false">
      <c r="A99" s="13" t="s">
        <v>64</v>
      </c>
      <c r="B99" s="41" t="s">
        <v>99</v>
      </c>
      <c r="C99" s="41" t="s">
        <v>130</v>
      </c>
      <c r="D99" s="41" t="s">
        <v>165</v>
      </c>
    </row>
    <row r="100" customFormat="false" ht="15" hidden="false" customHeight="false" outlineLevel="0" collapsed="false">
      <c r="A100" s="13" t="s">
        <v>64</v>
      </c>
      <c r="B100" s="41" t="s">
        <v>267</v>
      </c>
      <c r="C100" s="41" t="s">
        <v>268</v>
      </c>
      <c r="D100" s="41" t="s">
        <v>287</v>
      </c>
    </row>
    <row r="101" customFormat="false" ht="15" hidden="false" customHeight="false" outlineLevel="0" collapsed="false">
      <c r="A101" s="13" t="s">
        <v>64</v>
      </c>
      <c r="B101" s="41" t="s">
        <v>101</v>
      </c>
      <c r="C101" s="41" t="s">
        <v>131</v>
      </c>
      <c r="D101" s="41" t="s">
        <v>181</v>
      </c>
    </row>
    <row r="102" customFormat="false" ht="15" hidden="false" customHeight="false" outlineLevel="0" collapsed="false">
      <c r="A102" s="13" t="s">
        <v>64</v>
      </c>
      <c r="B102" s="41" t="s">
        <v>100</v>
      </c>
      <c r="C102" s="41" t="s">
        <v>131</v>
      </c>
      <c r="D102" s="41" t="s">
        <v>167</v>
      </c>
    </row>
    <row r="103" customFormat="false" ht="15" hidden="false" customHeight="false" outlineLevel="0" collapsed="false">
      <c r="A103" s="13" t="s">
        <v>64</v>
      </c>
      <c r="B103" s="41" t="s">
        <v>264</v>
      </c>
      <c r="C103" s="41" t="s">
        <v>265</v>
      </c>
      <c r="D103" s="41" t="s">
        <v>270</v>
      </c>
    </row>
    <row r="104" customFormat="false" ht="15" hidden="false" customHeight="false" outlineLevel="0" collapsed="false">
      <c r="A104" s="13" t="s">
        <v>64</v>
      </c>
      <c r="B104" s="41" t="s">
        <v>264</v>
      </c>
      <c r="C104" s="41" t="s">
        <v>265</v>
      </c>
      <c r="D104" s="41" t="s">
        <v>278</v>
      </c>
    </row>
    <row r="105" customFormat="false" ht="15" hidden="false" customHeight="false" outlineLevel="0" collapsed="false">
      <c r="A105" s="13" t="s">
        <v>64</v>
      </c>
      <c r="B105" s="41" t="s">
        <v>280</v>
      </c>
      <c r="C105" s="41" t="s">
        <v>130</v>
      </c>
      <c r="D105" s="41" t="s">
        <v>352</v>
      </c>
    </row>
    <row r="106" customFormat="false" ht="15" hidden="false" customHeight="false" outlineLevel="0" collapsed="false">
      <c r="A106" s="13" t="s">
        <v>64</v>
      </c>
      <c r="B106" s="41" t="s">
        <v>267</v>
      </c>
      <c r="C106" s="41" t="s">
        <v>268</v>
      </c>
      <c r="D106" s="41" t="s">
        <v>279</v>
      </c>
    </row>
    <row r="107" customFormat="false" ht="15" hidden="false" customHeight="false" outlineLevel="0" collapsed="false">
      <c r="A107" s="13" t="s">
        <v>64</v>
      </c>
      <c r="B107" s="41" t="s">
        <v>283</v>
      </c>
      <c r="C107" s="41" t="s">
        <v>130</v>
      </c>
      <c r="D107" s="41" t="s">
        <v>284</v>
      </c>
    </row>
    <row r="108" customFormat="false" ht="15" hidden="false" customHeight="false" outlineLevel="0" collapsed="false">
      <c r="A108" s="13" t="s">
        <v>64</v>
      </c>
      <c r="B108" s="41" t="s">
        <v>267</v>
      </c>
      <c r="C108" s="41" t="s">
        <v>268</v>
      </c>
      <c r="D108" s="41" t="s">
        <v>302</v>
      </c>
    </row>
    <row r="109" customFormat="false" ht="15" hidden="false" customHeight="false" outlineLevel="0" collapsed="false">
      <c r="A109" s="13" t="s">
        <v>64</v>
      </c>
      <c r="B109" s="41" t="s">
        <v>101</v>
      </c>
      <c r="C109" s="41" t="s">
        <v>131</v>
      </c>
      <c r="D109" s="41" t="s">
        <v>171</v>
      </c>
    </row>
    <row r="110" customFormat="false" ht="15" hidden="false" customHeight="false" outlineLevel="0" collapsed="false">
      <c r="A110" s="13" t="s">
        <v>64</v>
      </c>
      <c r="B110" s="41" t="s">
        <v>264</v>
      </c>
      <c r="C110" s="41" t="s">
        <v>265</v>
      </c>
      <c r="D110" s="41" t="s">
        <v>304</v>
      </c>
    </row>
    <row r="111" customFormat="false" ht="15" hidden="false" customHeight="false" outlineLevel="0" collapsed="false">
      <c r="A111" s="13" t="s">
        <v>64</v>
      </c>
      <c r="B111" s="41" t="s">
        <v>101</v>
      </c>
      <c r="C111" s="41" t="s">
        <v>131</v>
      </c>
      <c r="D111" s="41" t="s">
        <v>189</v>
      </c>
    </row>
    <row r="112" customFormat="false" ht="15" hidden="false" customHeight="false" outlineLevel="0" collapsed="false">
      <c r="A112" s="13" t="s">
        <v>64</v>
      </c>
      <c r="B112" s="41" t="s">
        <v>101</v>
      </c>
      <c r="C112" s="41" t="s">
        <v>131</v>
      </c>
      <c r="D112" s="41" t="s">
        <v>178</v>
      </c>
    </row>
    <row r="113" customFormat="false" ht="15" hidden="false" customHeight="false" outlineLevel="0" collapsed="false">
      <c r="A113" s="13" t="s">
        <v>64</v>
      </c>
      <c r="B113" s="41" t="s">
        <v>100</v>
      </c>
      <c r="C113" s="41" t="s">
        <v>131</v>
      </c>
      <c r="D113" s="41" t="s">
        <v>159</v>
      </c>
    </row>
    <row r="114" customFormat="false" ht="15" hidden="false" customHeight="false" outlineLevel="0" collapsed="false">
      <c r="A114" s="13" t="s">
        <v>64</v>
      </c>
      <c r="B114" s="41" t="s">
        <v>99</v>
      </c>
      <c r="C114" s="41" t="s">
        <v>130</v>
      </c>
      <c r="D114" s="41" t="s">
        <v>192</v>
      </c>
    </row>
    <row r="115" customFormat="false" ht="15" hidden="false" customHeight="false" outlineLevel="0" collapsed="false">
      <c r="A115" s="13" t="s">
        <v>64</v>
      </c>
      <c r="B115" s="41" t="s">
        <v>99</v>
      </c>
      <c r="C115" s="41" t="s">
        <v>130</v>
      </c>
      <c r="D115" s="41" t="s">
        <v>187</v>
      </c>
    </row>
    <row r="116" customFormat="false" ht="15" hidden="false" customHeight="false" outlineLevel="0" collapsed="false">
      <c r="A116" s="13" t="s">
        <v>64</v>
      </c>
      <c r="B116" s="41" t="s">
        <v>100</v>
      </c>
      <c r="C116" s="41" t="s">
        <v>131</v>
      </c>
      <c r="D116" s="41" t="s">
        <v>175</v>
      </c>
    </row>
    <row r="117" customFormat="false" ht="15" hidden="false" customHeight="false" outlineLevel="0" collapsed="false">
      <c r="A117" s="13" t="s">
        <v>64</v>
      </c>
      <c r="B117" s="41" t="s">
        <v>267</v>
      </c>
      <c r="C117" s="41" t="s">
        <v>268</v>
      </c>
      <c r="D117" s="41" t="s">
        <v>298</v>
      </c>
    </row>
    <row r="118" customFormat="false" ht="15" hidden="false" customHeight="false" outlineLevel="0" collapsed="false">
      <c r="A118" s="13" t="s">
        <v>64</v>
      </c>
      <c r="B118" s="41" t="s">
        <v>267</v>
      </c>
      <c r="C118" s="41" t="s">
        <v>268</v>
      </c>
      <c r="D118" s="41" t="s">
        <v>353</v>
      </c>
    </row>
    <row r="119" customFormat="false" ht="15" hidden="false" customHeight="false" outlineLevel="0" collapsed="false">
      <c r="A119" s="13" t="s">
        <v>64</v>
      </c>
      <c r="B119" s="41" t="s">
        <v>354</v>
      </c>
      <c r="C119" s="41" t="s">
        <v>355</v>
      </c>
      <c r="D119" s="41" t="s">
        <v>355</v>
      </c>
    </row>
    <row r="120" customFormat="false" ht="15" hidden="false" customHeight="false" outlineLevel="0" collapsed="false">
      <c r="A120" s="13" t="s">
        <v>64</v>
      </c>
      <c r="B120" s="41" t="s">
        <v>267</v>
      </c>
      <c r="C120" s="41" t="s">
        <v>268</v>
      </c>
      <c r="D120" s="41" t="s">
        <v>303</v>
      </c>
    </row>
    <row r="121" customFormat="false" ht="15" hidden="false" customHeight="false" outlineLevel="0" collapsed="false">
      <c r="A121" s="13" t="s">
        <v>64</v>
      </c>
      <c r="B121" s="41" t="s">
        <v>317</v>
      </c>
      <c r="C121" s="41" t="s">
        <v>318</v>
      </c>
      <c r="D121" s="41" t="s">
        <v>319</v>
      </c>
    </row>
    <row r="122" customFormat="false" ht="15" hidden="false" customHeight="false" outlineLevel="0" collapsed="false">
      <c r="A122" s="13" t="s">
        <v>64</v>
      </c>
      <c r="B122" s="41" t="s">
        <v>280</v>
      </c>
      <c r="C122" s="41" t="s">
        <v>130</v>
      </c>
      <c r="D122" s="41" t="s">
        <v>305</v>
      </c>
    </row>
    <row r="123" customFormat="false" ht="15" hidden="false" customHeight="false" outlineLevel="0" collapsed="false">
      <c r="A123" s="13" t="s">
        <v>64</v>
      </c>
      <c r="B123" s="41" t="s">
        <v>280</v>
      </c>
      <c r="C123" s="41" t="s">
        <v>130</v>
      </c>
      <c r="D123" s="41" t="s">
        <v>356</v>
      </c>
    </row>
    <row r="124" customFormat="false" ht="15" hidden="false" customHeight="false" outlineLevel="0" collapsed="false">
      <c r="A124" s="13" t="s">
        <v>64</v>
      </c>
      <c r="B124" s="41" t="s">
        <v>99</v>
      </c>
      <c r="C124" s="41" t="s">
        <v>130</v>
      </c>
      <c r="D124" s="41" t="s">
        <v>182</v>
      </c>
    </row>
    <row r="125" customFormat="false" ht="15" hidden="false" customHeight="false" outlineLevel="0" collapsed="false">
      <c r="A125" s="13" t="s">
        <v>64</v>
      </c>
      <c r="B125" s="41" t="s">
        <v>99</v>
      </c>
      <c r="C125" s="41" t="s">
        <v>130</v>
      </c>
      <c r="D125" s="41" t="s">
        <v>188</v>
      </c>
    </row>
    <row r="126" customFormat="false" ht="15" hidden="false" customHeight="false" outlineLevel="0" collapsed="false">
      <c r="A126" s="13" t="s">
        <v>64</v>
      </c>
      <c r="B126" s="41" t="s">
        <v>101</v>
      </c>
      <c r="C126" s="41" t="s">
        <v>131</v>
      </c>
      <c r="D126" s="41" t="s">
        <v>168</v>
      </c>
    </row>
    <row r="127" customFormat="false" ht="15" hidden="false" customHeight="false" outlineLevel="0" collapsed="false">
      <c r="A127" s="13" t="s">
        <v>64</v>
      </c>
      <c r="B127" s="41" t="s">
        <v>99</v>
      </c>
      <c r="C127" s="41" t="s">
        <v>130</v>
      </c>
      <c r="D127" s="41" t="s">
        <v>197</v>
      </c>
    </row>
    <row r="128" customFormat="false" ht="15" hidden="false" customHeight="false" outlineLevel="0" collapsed="false">
      <c r="A128" s="13" t="s">
        <v>64</v>
      </c>
      <c r="B128" s="41" t="s">
        <v>99</v>
      </c>
      <c r="C128" s="41" t="s">
        <v>130</v>
      </c>
      <c r="D128" s="41" t="s">
        <v>205</v>
      </c>
    </row>
    <row r="129" customFormat="false" ht="15" hidden="false" customHeight="false" outlineLevel="0" collapsed="false">
      <c r="A129" s="13" t="s">
        <v>64</v>
      </c>
      <c r="B129" s="41" t="s">
        <v>99</v>
      </c>
      <c r="C129" s="41" t="s">
        <v>130</v>
      </c>
      <c r="D129" s="41" t="s">
        <v>184</v>
      </c>
    </row>
    <row r="130" customFormat="false" ht="15" hidden="false" customHeight="false" outlineLevel="0" collapsed="false">
      <c r="A130" s="13" t="s">
        <v>64</v>
      </c>
      <c r="B130" s="41" t="s">
        <v>99</v>
      </c>
      <c r="C130" s="41" t="s">
        <v>130</v>
      </c>
      <c r="D130" s="41" t="s">
        <v>193</v>
      </c>
    </row>
    <row r="131" customFormat="false" ht="15" hidden="false" customHeight="false" outlineLevel="0" collapsed="false">
      <c r="A131" s="13" t="s">
        <v>64</v>
      </c>
      <c r="B131" s="41" t="s">
        <v>100</v>
      </c>
      <c r="C131" s="41" t="s">
        <v>131</v>
      </c>
      <c r="D131" s="41" t="s">
        <v>208</v>
      </c>
    </row>
    <row r="132" customFormat="false" ht="15" hidden="false" customHeight="false" outlineLevel="0" collapsed="false">
      <c r="A132" s="13" t="s">
        <v>64</v>
      </c>
      <c r="B132" s="41" t="s">
        <v>100</v>
      </c>
      <c r="C132" s="41" t="s">
        <v>131</v>
      </c>
      <c r="D132" s="41" t="s">
        <v>174</v>
      </c>
    </row>
    <row r="133" customFormat="false" ht="15" hidden="false" customHeight="false" outlineLevel="0" collapsed="false">
      <c r="A133" s="13" t="s">
        <v>64</v>
      </c>
      <c r="B133" s="41" t="s">
        <v>100</v>
      </c>
      <c r="C133" s="41" t="s">
        <v>131</v>
      </c>
      <c r="D133" s="41" t="s">
        <v>191</v>
      </c>
    </row>
    <row r="134" customFormat="false" ht="15" hidden="false" customHeight="false" outlineLevel="0" collapsed="false">
      <c r="A134" s="13" t="s">
        <v>64</v>
      </c>
      <c r="B134" s="41" t="s">
        <v>102</v>
      </c>
      <c r="C134" s="41" t="s">
        <v>131</v>
      </c>
      <c r="D134" s="41" t="s">
        <v>170</v>
      </c>
    </row>
    <row r="135" customFormat="false" ht="15" hidden="false" customHeight="false" outlineLevel="0" collapsed="false">
      <c r="A135" s="13" t="s">
        <v>64</v>
      </c>
      <c r="B135" s="41" t="s">
        <v>328</v>
      </c>
      <c r="C135" s="41" t="s">
        <v>329</v>
      </c>
      <c r="D135" s="41" t="s">
        <v>330</v>
      </c>
    </row>
    <row r="136" customFormat="false" ht="15" hidden="false" customHeight="false" outlineLevel="0" collapsed="false">
      <c r="A136" s="13" t="s">
        <v>64</v>
      </c>
      <c r="B136" s="41" t="s">
        <v>102</v>
      </c>
      <c r="C136" s="41" t="s">
        <v>131</v>
      </c>
      <c r="D136" s="41" t="s">
        <v>194</v>
      </c>
    </row>
    <row r="137" customFormat="false" ht="15" hidden="false" customHeight="false" outlineLevel="0" collapsed="false">
      <c r="A137" s="13" t="s">
        <v>64</v>
      </c>
      <c r="B137" s="41" t="s">
        <v>103</v>
      </c>
      <c r="C137" s="41" t="s">
        <v>132</v>
      </c>
      <c r="D137" s="41" t="s">
        <v>198</v>
      </c>
    </row>
    <row r="138" customFormat="false" ht="15" hidden="false" customHeight="false" outlineLevel="0" collapsed="false">
      <c r="A138" s="13" t="s">
        <v>64</v>
      </c>
      <c r="B138" s="41" t="s">
        <v>328</v>
      </c>
      <c r="C138" s="41" t="s">
        <v>329</v>
      </c>
      <c r="D138" s="41" t="s">
        <v>345</v>
      </c>
    </row>
    <row r="139" customFormat="false" ht="15" hidden="false" customHeight="false" outlineLevel="0" collapsed="false">
      <c r="A139" s="13" t="s">
        <v>64</v>
      </c>
      <c r="B139" s="41" t="s">
        <v>103</v>
      </c>
      <c r="C139" s="41" t="s">
        <v>132</v>
      </c>
      <c r="D139" s="41" t="s">
        <v>204</v>
      </c>
    </row>
    <row r="140" customFormat="false" ht="15" hidden="false" customHeight="false" outlineLevel="0" collapsed="false">
      <c r="A140" s="13" t="s">
        <v>64</v>
      </c>
      <c r="B140" s="41" t="s">
        <v>357</v>
      </c>
      <c r="C140" s="41" t="s">
        <v>358</v>
      </c>
      <c r="D140" s="41" t="s">
        <v>359</v>
      </c>
    </row>
    <row r="141" customFormat="false" ht="15" hidden="false" customHeight="false" outlineLevel="0" collapsed="false">
      <c r="A141" s="13" t="s">
        <v>64</v>
      </c>
      <c r="B141" s="41" t="s">
        <v>264</v>
      </c>
      <c r="C141" s="41" t="s">
        <v>265</v>
      </c>
      <c r="D141" s="41" t="s">
        <v>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2026-10-08T10:35:50Z</dcterms:created>
  <dc:creator>openpyxl</dc:creator>
  <dc:description/>
  <dc:language>en-US</dc:language>
  <cp:lastModifiedBy/>
  <dcterms:modified xsi:type="dcterms:W3CDTF">2026-10-08T10:35:50Z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